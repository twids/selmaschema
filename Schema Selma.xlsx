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ögtider" sheetId="1" r:id="rId4"/>
    <sheet state="visible" name="Template" sheetId="2" r:id="rId5"/>
    <sheet state="hidden" name="2024 April" sheetId="3" r:id="rId6"/>
    <sheet state="hidden" name="2022" sheetId="4" r:id="rId7"/>
    <sheet state="hidden" name="2022 December" sheetId="5" r:id="rId8"/>
    <sheet state="hidden" name="2023 Januari" sheetId="6" r:id="rId9"/>
    <sheet state="hidden" name="2023 Februari" sheetId="7" r:id="rId10"/>
    <sheet state="hidden" name="2023 Mars" sheetId="8" r:id="rId11"/>
    <sheet state="hidden" name="2023 April" sheetId="9" r:id="rId12"/>
    <sheet state="hidden" name="2023 Maj" sheetId="10" r:id="rId13"/>
    <sheet state="hidden" name="2023 Juni" sheetId="11" r:id="rId14"/>
    <sheet state="hidden" name="2023 Juli" sheetId="12" r:id="rId15"/>
    <sheet state="hidden" name="2023 Augusti" sheetId="13" r:id="rId16"/>
    <sheet state="hidden" name="2023 September" sheetId="14" r:id="rId17"/>
    <sheet state="hidden" name="2023 Oktober" sheetId="15" r:id="rId18"/>
    <sheet state="hidden" name="2023 November" sheetId="16" r:id="rId19"/>
    <sheet state="hidden" name="2023 December" sheetId="17" r:id="rId20"/>
    <sheet state="hidden" name="2024 Januari" sheetId="18" r:id="rId21"/>
    <sheet state="hidden" name="2024 Februari" sheetId="19" r:id="rId22"/>
    <sheet state="hidden" name="2024 Mars" sheetId="20" r:id="rId23"/>
    <sheet state="hidden" name="2024 Maj" sheetId="21" r:id="rId24"/>
    <sheet state="hidden" name="2024 Juni" sheetId="22" r:id="rId25"/>
    <sheet state="hidden" name="2024 Juli" sheetId="23" r:id="rId26"/>
    <sheet state="hidden" name="2024 Augusti" sheetId="24" r:id="rId27"/>
    <sheet state="hidden" name="September 2024" sheetId="25" r:id="rId28"/>
    <sheet state="hidden" name="Oktober 2024" sheetId="26" r:id="rId29"/>
    <sheet state="hidden" name="November 2024" sheetId="27" r:id="rId30"/>
    <sheet state="visible" name="December 2024" sheetId="28" r:id="rId31"/>
    <sheet state="visible" name="Januari 2025" sheetId="29" r:id="rId32"/>
    <sheet state="hidden" name="2025 Februari" sheetId="30" r:id="rId33"/>
    <sheet state="hidden" name="2025 Mars" sheetId="31" r:id="rId34"/>
    <sheet state="hidden" name="2025 April" sheetId="32" r:id="rId35"/>
    <sheet state="hidden" name="2025 Maj" sheetId="33" r:id="rId36"/>
    <sheet state="hidden" name="2025 Juni" sheetId="34" r:id="rId37"/>
    <sheet state="hidden" name="2025 Juli" sheetId="35" r:id="rId38"/>
    <sheet state="hidden" name="2025 Augusti" sheetId="36" r:id="rId39"/>
    <sheet state="hidden" name="2025 September" sheetId="37" r:id="rId40"/>
    <sheet state="visible" name="2025 Oktober" sheetId="38" r:id="rId41"/>
    <sheet state="visible" name="2025 November" sheetId="39" r:id="rId42"/>
    <sheet state="visible" name="2025 December" sheetId="40" r:id="rId43"/>
    <sheet state="visible" name="2026 Januari" sheetId="41" r:id="rId44"/>
  </sheets>
  <definedNames>
    <definedName hidden="1" localSheetId="1" name="_xlnm._FilterDatabase">Template!$C$1:$C$1003</definedName>
    <definedName hidden="1" localSheetId="2" name="_xlnm._FilterDatabase">'2024 April'!$C$1:$C$1003</definedName>
    <definedName hidden="1" localSheetId="17" name="_xlnm._FilterDatabase">'2024 Januari'!$C$1:$C$1003</definedName>
    <definedName hidden="1" localSheetId="18" name="_xlnm._FilterDatabase">'2024 Februari'!$C$1:$C$1003</definedName>
    <definedName hidden="1" localSheetId="19" name="_xlnm._FilterDatabase">'2024 Mars'!$C$1:$C$1003</definedName>
    <definedName hidden="1" localSheetId="20" name="_xlnm._FilterDatabase">'2024 Maj'!$C$1:$C$1003</definedName>
    <definedName hidden="1" localSheetId="21" name="_xlnm._FilterDatabase">'2024 Juni'!$C$1:$C$1003</definedName>
    <definedName hidden="1" localSheetId="22" name="_xlnm._FilterDatabase">'2024 Juli'!$C$1:$C$1003</definedName>
    <definedName hidden="1" localSheetId="23" name="_xlnm._FilterDatabase">'2024 Augusti'!$C$1:$C$1003</definedName>
    <definedName hidden="1" localSheetId="24" name="_xlnm._FilterDatabase">'September 2024'!$C$1:$C$1003</definedName>
    <definedName hidden="1" localSheetId="25" name="_xlnm._FilterDatabase">'Oktober 2024'!$C$1:$C$1003</definedName>
    <definedName hidden="1" localSheetId="26" name="_xlnm._FilterDatabase">'November 2024'!$C$1:$C$1003</definedName>
    <definedName hidden="1" localSheetId="27" name="_xlnm._FilterDatabase">'December 2024'!$C$1:$C$1003</definedName>
    <definedName hidden="1" localSheetId="28" name="_xlnm._FilterDatabase">'Januari 2025'!$C$1:$C$1003</definedName>
    <definedName hidden="1" localSheetId="29" name="_xlnm._FilterDatabase">'2025 Februari'!$C$1:$C$1003</definedName>
    <definedName hidden="1" localSheetId="30" name="_xlnm._FilterDatabase">'2025 Mars'!$C$1:$C$1003</definedName>
    <definedName hidden="1" localSheetId="31" name="_xlnm._FilterDatabase">'2025 April'!$C$1:$C$1003</definedName>
    <definedName hidden="1" localSheetId="32" name="_xlnm._FilterDatabase">'2025 Maj'!$C$1:$C$1003</definedName>
    <definedName hidden="1" localSheetId="33" name="_xlnm._FilterDatabase">'2025 Juni'!$C$1:$C$1003</definedName>
    <definedName hidden="1" localSheetId="34" name="_xlnm._FilterDatabase">'2025 Juli'!$C$1:$C$1003</definedName>
    <definedName hidden="1" localSheetId="35" name="_xlnm._FilterDatabase">'2025 Augusti'!$C$1:$C$1003</definedName>
    <definedName hidden="1" localSheetId="36" name="_xlnm._FilterDatabase">'2025 September'!$C$1:$C$1003</definedName>
    <definedName hidden="1" localSheetId="37" name="_xlnm._FilterDatabase">'2025 Oktober'!$C$1:$C$1003</definedName>
    <definedName hidden="1" localSheetId="38" name="_xlnm._FilterDatabase">'2025 November'!$C$1:$C$1003</definedName>
    <definedName hidden="1" localSheetId="39" name="_xlnm._FilterDatabase">'2025 December'!$C$1:$C$1003</definedName>
    <definedName hidden="1" localSheetId="40" name="_xlnm._FilterDatabase">'2026 Januari'!$C$1:$C$1003</definedName>
    <definedName hidden="1" localSheetId="13" name="Z_B0FBDFEB_B37F_41B8_ADCA_EB339C5C0668_.wvu.FilterData">'2023 September'!$C$1:$C$1003</definedName>
  </definedNames>
  <calcPr/>
  <customWorkbookViews>
    <customWorkbookView activeSheetId="0" maximized="1" windowHeight="0" windowWidth="0" guid="{B0FBDFEB-B37F-41B8-ADCA-EB339C5C0668}" name="Filter 1"/>
  </customWorkbookViews>
</workbook>
</file>

<file path=xl/sharedStrings.xml><?xml version="1.0" encoding="utf-8"?>
<sst xmlns="http://schemas.openxmlformats.org/spreadsheetml/2006/main" count="1244" uniqueCount="272">
  <si>
    <t xml:space="preserve">Uppdelning - högtider </t>
  </si>
  <si>
    <t>Skapad: 2024-04-02, CA</t>
  </si>
  <si>
    <t>Högtid</t>
  </si>
  <si>
    <t>Påsk</t>
  </si>
  <si>
    <t>Caroline</t>
  </si>
  <si>
    <t>Tomas</t>
  </si>
  <si>
    <t>Tomas(byte av dagar)</t>
  </si>
  <si>
    <t>Midsommar</t>
  </si>
  <si>
    <t>Caroline(byte av dagar)</t>
  </si>
  <si>
    <t>Julafton</t>
  </si>
  <si>
    <t xml:space="preserve">Caroline(julafton) 
Tomas resten av julen </t>
  </si>
  <si>
    <t>Nyår</t>
  </si>
  <si>
    <t>Hos pappa</t>
  </si>
  <si>
    <t>Vecka</t>
  </si>
  <si>
    <t>Carro</t>
  </si>
  <si>
    <t>Kommentar Tomas</t>
  </si>
  <si>
    <t>Kommentar Caroline</t>
  </si>
  <si>
    <t>Har Selma</t>
  </si>
  <si>
    <t>Bytt dag</t>
  </si>
  <si>
    <t>Tomas ledig med Selma förslag</t>
  </si>
  <si>
    <t>Carro ledig med Selma förslag</t>
  </si>
  <si>
    <t>Annandag påsk</t>
  </si>
  <si>
    <t>Öland</t>
  </si>
  <si>
    <t>Sista dagen att lämna in sommarledigt på förskolan</t>
  </si>
  <si>
    <t>Minisimskola kl. 16 Sickla - Sista lektionen</t>
  </si>
  <si>
    <t>Byte om du åker till Öland m Selma + videosamtal under påsk</t>
  </si>
  <si>
    <t>VAB</t>
  </si>
  <si>
    <t>Selma hemringd fr förskolan(kräkts)</t>
  </si>
  <si>
    <t>APT Föris</t>
  </si>
  <si>
    <t>Selma hemringd fr förskolan(hosta + förkyld)</t>
  </si>
  <si>
    <t>Utvecklingssamtal förskolan kl. 8:00</t>
  </si>
  <si>
    <t>2 dag + 2 dag + 3 dag</t>
  </si>
  <si>
    <t xml:space="preserve">Tomas </t>
  </si>
  <si>
    <t xml:space="preserve">Carro </t>
  </si>
  <si>
    <t>Vecka 44</t>
  </si>
  <si>
    <t xml:space="preserve">Måndag </t>
  </si>
  <si>
    <t xml:space="preserve">Tisdag </t>
  </si>
  <si>
    <t xml:space="preserve">Onsdag </t>
  </si>
  <si>
    <t xml:space="preserve">Torsdag </t>
  </si>
  <si>
    <t xml:space="preserve">Fredag </t>
  </si>
  <si>
    <t xml:space="preserve">Anders + Tove </t>
  </si>
  <si>
    <t xml:space="preserve">Lördag </t>
  </si>
  <si>
    <t xml:space="preserve">Söndag </t>
  </si>
  <si>
    <t>Vecka 45</t>
  </si>
  <si>
    <t>Tisdag</t>
  </si>
  <si>
    <t>Onsdag</t>
  </si>
  <si>
    <t>Lördag</t>
  </si>
  <si>
    <t>Vecka 46</t>
  </si>
  <si>
    <t>Vecka 47</t>
  </si>
  <si>
    <t xml:space="preserve">Ev inflytt i sköndal </t>
  </si>
  <si>
    <t>Ej på schottisv</t>
  </si>
  <si>
    <t xml:space="preserve">Sköndal </t>
  </si>
  <si>
    <t xml:space="preserve">Vecka 48(förskolan heltid) </t>
  </si>
  <si>
    <t>Måndag</t>
  </si>
  <si>
    <t>Förskolan stängd</t>
  </si>
  <si>
    <t>Kommentar</t>
  </si>
  <si>
    <t>December</t>
  </si>
  <si>
    <t>APT förskola stänger 15:45</t>
  </si>
  <si>
    <t>Behöver låna bilbarnsstolen</t>
  </si>
  <si>
    <t>FP</t>
  </si>
  <si>
    <t>Jobb</t>
  </si>
  <si>
    <t>Selma sover hos mormor &amp; morfar</t>
  </si>
  <si>
    <t xml:space="preserve">Hämtar Selma i Sköndal </t>
  </si>
  <si>
    <t>Ledig</t>
  </si>
  <si>
    <t>måndag</t>
  </si>
  <si>
    <t>tisdag</t>
  </si>
  <si>
    <t>onsdag</t>
  </si>
  <si>
    <t>Behöver hjälp 16:30-&gt;ish</t>
  </si>
  <si>
    <t>torsdag</t>
  </si>
  <si>
    <t>fredag</t>
  </si>
  <si>
    <t>lördag</t>
  </si>
  <si>
    <t>Januari</t>
  </si>
  <si>
    <t>Vab</t>
  </si>
  <si>
    <t xml:space="preserve">APT  Föris </t>
  </si>
  <si>
    <t>Dop 14:00</t>
  </si>
  <si>
    <t>Kurs</t>
  </si>
  <si>
    <t>-</t>
  </si>
  <si>
    <t>Februari</t>
  </si>
  <si>
    <t>CA behöver byta dag pga konsert</t>
  </si>
  <si>
    <t>FP från kl 13</t>
  </si>
  <si>
    <t>25% FP</t>
  </si>
  <si>
    <t>AW</t>
  </si>
  <si>
    <t>Tar Selma</t>
  </si>
  <si>
    <t>Kick-off(konferens + middag) med jobbet</t>
  </si>
  <si>
    <t>Föris stängd</t>
  </si>
  <si>
    <t>Besiktar bilen 13:30, (Tar Selma på studiedagen i Maj)</t>
  </si>
  <si>
    <t xml:space="preserve">Konsert </t>
  </si>
  <si>
    <t>Lindvallen</t>
  </si>
  <si>
    <r>
      <rPr>
        <rFont val="Arial"/>
        <color theme="1"/>
      </rPr>
      <t>Carro å Selma på Schottisvägen</t>
    </r>
    <r>
      <rPr>
        <rFont val="Arial"/>
        <b/>
        <color theme="1"/>
      </rPr>
      <t>(Kommer på morgonen)</t>
    </r>
  </si>
  <si>
    <t>Carro å Selma på Schottisvägen</t>
  </si>
  <si>
    <r>
      <rPr>
        <rFont val="Arial"/>
        <color theme="1"/>
      </rPr>
      <t xml:space="preserve">Carro å Selma på Schottisvägen </t>
    </r>
    <r>
      <rPr>
        <rFont val="Arial"/>
        <b/>
        <color theme="1"/>
      </rPr>
      <t>(CA tar ut FP)</t>
    </r>
  </si>
  <si>
    <r>
      <rPr>
        <rFont val="Arial"/>
        <color theme="1"/>
      </rPr>
      <t xml:space="preserve">Carro å Selma på Schottisvägen </t>
    </r>
    <r>
      <rPr>
        <rFont val="Arial"/>
        <b/>
        <color rgb="FFFF0000"/>
      </rPr>
      <t>(Kan du ta Selma över natten å lämna?)</t>
    </r>
  </si>
  <si>
    <t>Mars</t>
  </si>
  <si>
    <t>Ljusdal</t>
  </si>
  <si>
    <t>Terapi kl 15:30</t>
  </si>
  <si>
    <t xml:space="preserve">ev Ljusdal </t>
  </si>
  <si>
    <t>April</t>
  </si>
  <si>
    <t>ev Ljusdal</t>
  </si>
  <si>
    <t>Långfredag</t>
  </si>
  <si>
    <t>Påskafton</t>
  </si>
  <si>
    <t>Påskdagen</t>
  </si>
  <si>
    <t xml:space="preserve">Ljusdal </t>
  </si>
  <si>
    <t xml:space="preserve">Ljusdal, reser hem </t>
  </si>
  <si>
    <t>söndag</t>
  </si>
  <si>
    <t>Maj</t>
  </si>
  <si>
    <t>När vill du att jag hämtar henne?</t>
  </si>
  <si>
    <t>Bortrest</t>
  </si>
  <si>
    <t>Byte, Tomas tog förra studiedagen</t>
  </si>
  <si>
    <t>Aktivitet jobbet</t>
  </si>
  <si>
    <t>Morsdag</t>
  </si>
  <si>
    <t>APT</t>
  </si>
  <si>
    <t>Mot Öland nångång ~16-17 om det funkar</t>
  </si>
  <si>
    <t>Midsommarafton</t>
  </si>
  <si>
    <t>Hämtar Selma efter jobbet</t>
  </si>
  <si>
    <t>Lämnar Selma på kvällen, efter vi ätit middag</t>
  </si>
  <si>
    <t>Mamma &amp; pappa hämtar Selma</t>
  </si>
  <si>
    <t xml:space="preserve"> </t>
  </si>
  <si>
    <t>Gotland</t>
  </si>
  <si>
    <t>Båten går från Oskarshamn kl.8:00</t>
  </si>
  <si>
    <t>Båten framme i Oskarshamn kl. 11:20</t>
  </si>
  <si>
    <t>❤️</t>
  </si>
  <si>
    <t>Bortrest /T</t>
  </si>
  <si>
    <t>Önskar tidig lämning. Innan lunch</t>
  </si>
  <si>
    <t>Önskar att du tar Selma här om du kan</t>
  </si>
  <si>
    <t>2årskontroll 15:00-16:00</t>
  </si>
  <si>
    <t>Jag följer gärna med på 2 års kontrollen</t>
  </si>
  <si>
    <t>Familjerätten kl 13</t>
  </si>
  <si>
    <t xml:space="preserve">Bortrest </t>
  </si>
  <si>
    <t>Studiedag Föris</t>
  </si>
  <si>
    <t>Selma måste provtas</t>
  </si>
  <si>
    <t>Huddinge sjukhus</t>
  </si>
  <si>
    <t>VAB(mamma)</t>
  </si>
  <si>
    <t>Konferens Järvsö</t>
  </si>
  <si>
    <t>Familjerätten kl 13:15</t>
  </si>
  <si>
    <t>Selma hos farmor&amp;farfar</t>
  </si>
  <si>
    <t>Selma är med mormor</t>
  </si>
  <si>
    <t>Kvällsaktivitet med jobbet</t>
  </si>
  <si>
    <t>Morbror hämtar tidigt på förskolan</t>
  </si>
  <si>
    <t>Öppet hus på FSK kl.14:45-16:30</t>
  </si>
  <si>
    <t>Flyttar</t>
  </si>
  <si>
    <t>1:a advent</t>
  </si>
  <si>
    <t>julfest</t>
  </si>
  <si>
    <t>2:a advent</t>
  </si>
  <si>
    <t>Lucia</t>
  </si>
  <si>
    <t>aktivitet jobbet</t>
  </si>
  <si>
    <t>3:dje advent</t>
  </si>
  <si>
    <t>FSK om Storken</t>
  </si>
  <si>
    <t>Selma ledig föris</t>
  </si>
  <si>
    <t>Julafton/4:de advent</t>
  </si>
  <si>
    <t>Selma 2022 Julen</t>
  </si>
  <si>
    <t>Juldagen</t>
  </si>
  <si>
    <t>Annandag jul</t>
  </si>
  <si>
    <t>Selma Ledig</t>
  </si>
  <si>
    <t>Selma 2022 nyår</t>
  </si>
  <si>
    <t>Juländringar Carro</t>
  </si>
  <si>
    <t>Juländringar Tomas</t>
  </si>
  <si>
    <t>Nyårsdagen</t>
  </si>
  <si>
    <t>Selma sjuk</t>
  </si>
  <si>
    <t>Minisimskola kl. 12 Älvsjö</t>
  </si>
  <si>
    <t>Konsert kl.19</t>
  </si>
  <si>
    <t>Minisimskola kl. 16 Sickla</t>
  </si>
  <si>
    <t>Lämnar Selma ca kl 8</t>
  </si>
  <si>
    <t>Minisimskola kl. 16 Sickla - Missar</t>
  </si>
  <si>
    <t>Kurs kl.9:00-12:00</t>
  </si>
  <si>
    <t>Rocka sockorna</t>
  </si>
  <si>
    <t>Skärtorsdagen</t>
  </si>
  <si>
    <t>Långfredagen</t>
  </si>
  <si>
    <t>1:a maj</t>
  </si>
  <si>
    <t>Läkarbesök Capio Skogås kl.8:15-9:00. Meddela förskolan.</t>
  </si>
  <si>
    <t>2 puffar kväll</t>
  </si>
  <si>
    <t>Kristi Himmels färdsdag</t>
  </si>
  <si>
    <t>2 puffar morgon + 2 puffar kväll</t>
  </si>
  <si>
    <t>Selma ledig fr föris</t>
  </si>
  <si>
    <t>2 puffar morgon + 1 puff kväll</t>
  </si>
  <si>
    <t>1 puff morgon + 1 puff kväll</t>
  </si>
  <si>
    <t>Förskolans dag med Vernissage</t>
  </si>
  <si>
    <r>
      <rPr>
        <rFont val="Arial"/>
        <color rgb="FF6AA84F"/>
      </rPr>
      <t xml:space="preserve">1 puff morgon </t>
    </r>
    <r>
      <rPr>
        <rFont val="Arial"/>
        <color rgb="FF6AA84F"/>
      </rPr>
      <t>+ 1 puff kväll</t>
    </r>
  </si>
  <si>
    <t>Selma hemringd fr föris snorig, hostig, gnällig
Väldigt hostig under natten till tisdag</t>
  </si>
  <si>
    <t>Vill låna/ha Selma en dag tidigare</t>
  </si>
  <si>
    <t>Studiedag - Förskolan stängd</t>
  </si>
  <si>
    <t>Nationaldagen</t>
  </si>
  <si>
    <t>Selma ledig</t>
  </si>
  <si>
    <t>Önskar byte pga er resa till Öland</t>
  </si>
  <si>
    <t>Återbesök vårdcentralen kl 11:00</t>
  </si>
  <si>
    <t>Selma lämnas kl 17 på Schottis</t>
  </si>
  <si>
    <t xml:space="preserve">2 puffar </t>
  </si>
  <si>
    <t>Åker ca kl. 17/Öland</t>
  </si>
  <si>
    <t>Tror kanske att vi behöver åka lite tidigare, tidigast 15:30</t>
  </si>
  <si>
    <t>2 puffar + 4 puffar</t>
  </si>
  <si>
    <t>4 + 4 puffar</t>
  </si>
  <si>
    <t>Öland/Selma ledig</t>
  </si>
  <si>
    <t>4 + 2 puffar</t>
  </si>
  <si>
    <t>2 + 2 puffar</t>
  </si>
  <si>
    <t>Midsommardagen</t>
  </si>
  <si>
    <t>Om ni inte kommer hem alltför sent så lämna gärna henne idag.</t>
  </si>
  <si>
    <r>
      <rPr>
        <rFont val="Arial"/>
        <color rgb="FF6AA84F"/>
      </rPr>
      <t>2</t>
    </r>
    <r>
      <rPr>
        <rFont val="Arial"/>
        <color theme="1"/>
      </rPr>
      <t xml:space="preserve"> + 2 puffar</t>
    </r>
  </si>
  <si>
    <t>Selmas sista dag på FSK Storken</t>
  </si>
  <si>
    <t>Gotland - Båten går 6:25 Nynäs</t>
  </si>
  <si>
    <t>Selma 3år❤</t>
  </si>
  <si>
    <t>Selma börjar FSK Trollhyddan</t>
  </si>
  <si>
    <t>kl.9:00-11:00</t>
  </si>
  <si>
    <t>Deltar på inskolningen/infon denna dag</t>
  </si>
  <si>
    <t>Inskolning</t>
  </si>
  <si>
    <t>Selma på föris kl.8:45-13:45</t>
  </si>
  <si>
    <t>Konferens</t>
  </si>
  <si>
    <t>APT - Föris stänger 15:45</t>
  </si>
  <si>
    <t>Föräldramöte kl. 17:30</t>
  </si>
  <si>
    <t>Läkarbesök 13:30 Capio Skogås</t>
  </si>
  <si>
    <t>Chloes 4års kalas kl. 14 - Lånar Selma</t>
  </si>
  <si>
    <t>1/2 VAB</t>
  </si>
  <si>
    <t>Läkarbesök Capio Skogås kl 10-11</t>
  </si>
  <si>
    <t>Tomas julafton m Selma</t>
  </si>
  <si>
    <t>Ok att Selma är m Carro</t>
  </si>
  <si>
    <t>Vill ha Selma</t>
  </si>
  <si>
    <t>Carros nyår m Selma</t>
  </si>
  <si>
    <t xml:space="preserve">Tar influensavaccin </t>
  </si>
  <si>
    <t>Bamsegympa kl 9:00-9:45</t>
  </si>
  <si>
    <t>Leonores 4års kalas kl.14-16</t>
  </si>
  <si>
    <t>APT - Föris stänger kl.15:45</t>
  </si>
  <si>
    <t>Läkarbesök kl.8:15 Capio Skogås</t>
  </si>
  <si>
    <t>Vaccin vattkoppor spruta 2</t>
  </si>
  <si>
    <t>Vaccin influensa spruta 2</t>
  </si>
  <si>
    <t>Fjällen</t>
  </si>
  <si>
    <t>Åka skidor</t>
  </si>
  <si>
    <t>Lämnar Selma efter Bamsegympan</t>
  </si>
  <si>
    <t>Kommer hem?</t>
  </si>
  <si>
    <t>ok att hon är hos mig då?</t>
  </si>
  <si>
    <t>APT - Föris stänger kl. 15:45</t>
  </si>
  <si>
    <t>Bamsegympa kl.9:00</t>
  </si>
  <si>
    <t>Bamsegympa kl.9:00 - Sista gången</t>
  </si>
  <si>
    <t>Förskolan stänger kl 12</t>
  </si>
  <si>
    <t>Klämdag</t>
  </si>
  <si>
    <t>Morsdag, önskar få Selma denna dag</t>
  </si>
  <si>
    <t>Förskolan stänger kl. 12</t>
  </si>
  <si>
    <t>Kristi Himmels färd</t>
  </si>
  <si>
    <t>Förskolan stänger kl.12</t>
  </si>
  <si>
    <t>Utvecklingssamtal föris kl. 8:30</t>
  </si>
  <si>
    <t>Midsommarfest på förskolan kl.14</t>
  </si>
  <si>
    <t>APT  - Föris stänger kl 15:45</t>
  </si>
  <si>
    <t>FL</t>
  </si>
  <si>
    <t>Förskolan stängd vecka 28-31</t>
  </si>
  <si>
    <t>Selma lämnas på kvällen</t>
  </si>
  <si>
    <t xml:space="preserve">Gotland </t>
  </si>
  <si>
    <t xml:space="preserve">Selma ledig från förskolan </t>
  </si>
  <si>
    <t xml:space="preserve">Selma ledig </t>
  </si>
  <si>
    <t>Selma 4år</t>
  </si>
  <si>
    <t xml:space="preserve">Planeringsdag förskolan </t>
  </si>
  <si>
    <t>Georgs kalas kl 11-13</t>
  </si>
  <si>
    <t>4-års kontroll kl.8:15 BVC</t>
  </si>
  <si>
    <t>Deltar på 4-års kontrollen</t>
  </si>
  <si>
    <t>Kompiskalas kl.13:30-15:30 Schottisvägen</t>
  </si>
  <si>
    <t>Föräldramöte kl. 17:15-18:15</t>
  </si>
  <si>
    <t xml:space="preserve">Selmas kalas </t>
  </si>
  <si>
    <t>Bamsegympa kl 10:00-10:45</t>
  </si>
  <si>
    <t>Tackat ja</t>
  </si>
  <si>
    <t>Levi(syssling) 4års kalas kl 14-16</t>
  </si>
  <si>
    <t>Ayla</t>
  </si>
  <si>
    <t>Allergisk mot ägg, spår av ägg går bra</t>
  </si>
  <si>
    <t xml:space="preserve">Leonore </t>
  </si>
  <si>
    <t>Walter</t>
  </si>
  <si>
    <t xml:space="preserve">Ellie </t>
  </si>
  <si>
    <t>Devin</t>
  </si>
  <si>
    <t>Georg</t>
  </si>
  <si>
    <t>Bamsegympa kl 10:30-11:15</t>
  </si>
  <si>
    <t>Henry</t>
  </si>
  <si>
    <t>Bibbi</t>
  </si>
  <si>
    <t xml:space="preserve">Halloween firande på föris </t>
  </si>
  <si>
    <t>Förskolan stänger kl. 13</t>
  </si>
  <si>
    <t>Farsdag</t>
  </si>
  <si>
    <t>Bamsegympa kl 10:30-11:15 - Sista gången</t>
  </si>
  <si>
    <t>Nobelfest på Föris</t>
  </si>
  <si>
    <t>Förskolan stänger kl.13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</si>
</sst>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"/>
    <numFmt numFmtId="165" formatCode="mmmm"/>
    <numFmt numFmtId="166" formatCode="d"/>
    <numFmt numFmtId="167" formatCode="dddd"/>
    <numFmt numFmtId="168" formatCode="yyyy-MM-dd"/>
  </numFmts>
  <fonts count="25">
    <font>
      <sz val="10.0"/>
      <color rgb="FF000000"/>
      <name val="Arial"/>
      <scheme val="minor"/>
    </font>
    <font>
      <color theme="1"/>
      <name val="Arial"/>
    </font>
    <font>
      <b/>
      <sz val="14.0"/>
      <color theme="1"/>
      <name val="Arial"/>
    </font>
    <font>
      <b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b/>
      <sz val="18.0"/>
      <color theme="1"/>
      <name val="Arial"/>
      <scheme val="minor"/>
    </font>
    <font>
      <sz val="24.0"/>
      <color theme="1"/>
      <name val="Arial"/>
      <scheme val="minor"/>
    </font>
    <font>
      <b/>
      <sz val="14.0"/>
      <color theme="1"/>
      <name val="Arial"/>
      <scheme val="minor"/>
    </font>
    <font>
      <color rgb="FF000000"/>
      <name val="Arial"/>
      <scheme val="minor"/>
    </font>
    <font/>
    <font>
      <color theme="0"/>
      <name val="Arial"/>
      <scheme val="minor"/>
    </font>
    <font>
      <sz val="9.0"/>
      <color rgb="FF1155CC"/>
      <name val="&quot;Google Sans Mono&quot;"/>
    </font>
    <font>
      <sz val="9.0"/>
      <color rgb="FF000000"/>
      <name val="&quot;Google Sans Mono&quot;"/>
    </font>
    <font>
      <b/>
      <color rgb="FFFF0000"/>
      <name val="Arial"/>
      <scheme val="minor"/>
    </font>
    <font>
      <color theme="5"/>
      <name val="Arial"/>
      <scheme val="minor"/>
    </font>
    <font>
      <b/>
      <color rgb="FF000000"/>
      <name val="Arial"/>
      <scheme val="minor"/>
    </font>
    <font>
      <color rgb="FFFF0000"/>
      <name val="Arial"/>
      <scheme val="minor"/>
    </font>
    <font>
      <color rgb="FF000000"/>
      <name val="Arial"/>
    </font>
    <font>
      <i/>
      <color rgb="FF777777"/>
      <name val="&quot;Open Sans&quot;"/>
    </font>
    <font>
      <color rgb="FFFFFFFF"/>
      <name val="Arial"/>
      <scheme val="minor"/>
    </font>
    <font>
      <color rgb="FF6AA84F"/>
      <name val="Arial"/>
      <scheme val="minor"/>
    </font>
    <font>
      <color theme="7"/>
      <name val="Arial"/>
      <scheme val="minor"/>
    </font>
    <font>
      <color rgb="FF00FF00"/>
      <name val="Arial"/>
      <scheme val="minor"/>
    </font>
    <font>
      <strike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0000FF"/>
        <bgColor rgb="FF0000FF"/>
      </patternFill>
    </fill>
    <fill>
      <patternFill patternType="solid">
        <fgColor rgb="FFCC0000"/>
        <bgColor rgb="FFCC0000"/>
      </patternFill>
    </fill>
    <fill>
      <patternFill patternType="solid">
        <fgColor rgb="FFFF00FF"/>
        <bgColor rgb="FFFF00FF"/>
      </patternFill>
    </fill>
    <fill>
      <patternFill patternType="solid">
        <fgColor theme="0"/>
        <bgColor theme="0"/>
      </patternFill>
    </fill>
    <fill>
      <patternFill patternType="solid">
        <fgColor rgb="FFFCFCFC"/>
        <bgColor rgb="FFFCFCFC"/>
      </patternFill>
    </fill>
    <fill>
      <patternFill patternType="solid">
        <fgColor rgb="FF00FFFF"/>
        <bgColor rgb="FF00FFFF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ck">
        <color rgb="FF000000"/>
      </bottom>
    </border>
    <border>
      <right style="thick">
        <color rgb="FF000000"/>
      </right>
    </border>
    <border>
      <left style="thick">
        <color rgb="FF000000"/>
      </left>
    </border>
    <border>
      <top style="thick">
        <color rgb="FF000000"/>
      </top>
    </border>
    <border>
      <top style="thin">
        <color rgb="FF000000"/>
      </top>
    </border>
    <border>
      <left style="thick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vertical="bottom"/>
    </xf>
    <xf borderId="2" fillId="0" fontId="3" numFmtId="0" xfId="0" applyAlignment="1" applyBorder="1" applyFont="1">
      <alignment horizontal="center" vertical="bottom"/>
    </xf>
    <xf borderId="3" fillId="0" fontId="3" numFmtId="0" xfId="0" applyAlignment="1" applyBorder="1" applyFont="1">
      <alignment horizontal="center" vertical="bottom"/>
    </xf>
    <xf borderId="3" fillId="0" fontId="3" numFmtId="0" xfId="0" applyAlignment="1" applyBorder="1" applyFont="1">
      <alignment horizontal="center" readingOrder="0" vertical="bottom"/>
    </xf>
    <xf borderId="4" fillId="0" fontId="1" numFmtId="0" xfId="0" applyAlignment="1" applyBorder="1" applyFont="1">
      <alignment vertical="bottom"/>
    </xf>
    <xf borderId="5" fillId="0" fontId="1" numFmtId="0" xfId="0" applyAlignment="1" applyBorder="1" applyFont="1">
      <alignment vertical="bottom"/>
    </xf>
    <xf borderId="1" fillId="0" fontId="4" numFmtId="0" xfId="0" applyAlignment="1" applyBorder="1" applyFont="1">
      <alignment readingOrder="0"/>
    </xf>
    <xf borderId="5" fillId="2" fontId="1" numFmtId="0" xfId="0" applyAlignment="1" applyBorder="1" applyFill="1" applyFont="1">
      <alignment vertical="bottom"/>
    </xf>
    <xf borderId="0" fillId="0" fontId="4" numFmtId="164" xfId="0" applyAlignment="1" applyFont="1" applyNumberFormat="1">
      <alignment readingOrder="0"/>
    </xf>
    <xf borderId="6" fillId="0" fontId="4" numFmtId="0" xfId="0" applyAlignment="1" applyBorder="1" applyFont="1">
      <alignment readingOrder="0"/>
    </xf>
    <xf borderId="6" fillId="0" fontId="5" numFmtId="0" xfId="0" applyAlignment="1" applyBorder="1" applyFont="1">
      <alignment readingOrder="0"/>
    </xf>
    <xf borderId="6" fillId="0" fontId="4" numFmtId="0" xfId="0" applyBorder="1" applyFont="1"/>
    <xf borderId="6" fillId="0" fontId="6" numFmtId="0" xfId="0" applyAlignment="1" applyBorder="1" applyFont="1">
      <alignment readingOrder="0"/>
    </xf>
    <xf borderId="7" fillId="0" fontId="7" numFmtId="165" xfId="0" applyAlignment="1" applyBorder="1" applyFont="1" applyNumberFormat="1">
      <alignment horizontal="left" readingOrder="0" textRotation="90" vertical="center"/>
    </xf>
    <xf borderId="8" fillId="0" fontId="8" numFmtId="0" xfId="0" applyAlignment="1" applyBorder="1" applyFont="1">
      <alignment horizontal="center" readingOrder="0" textRotation="0" vertical="center"/>
    </xf>
    <xf borderId="0" fillId="0" fontId="5" numFmtId="166" xfId="0" applyAlignment="1" applyFont="1" applyNumberFormat="1">
      <alignment readingOrder="0"/>
    </xf>
    <xf borderId="9" fillId="0" fontId="9" numFmtId="167" xfId="0" applyAlignment="1" applyBorder="1" applyFont="1" applyNumberFormat="1">
      <alignment horizontal="left" readingOrder="0"/>
    </xf>
    <xf borderId="10" fillId="0" fontId="4" numFmtId="0" xfId="0" applyBorder="1" applyFont="1"/>
    <xf borderId="0" fillId="0" fontId="4" numFmtId="0" xfId="0" applyAlignment="1" applyFont="1">
      <alignment readingOrder="0"/>
    </xf>
    <xf borderId="7" fillId="0" fontId="10" numFmtId="0" xfId="0" applyBorder="1" applyFont="1"/>
    <xf borderId="8" fillId="0" fontId="10" numFmtId="0" xfId="0" applyBorder="1" applyFont="1"/>
    <xf borderId="0" fillId="0" fontId="9" numFmtId="167" xfId="0" applyAlignment="1" applyFont="1" applyNumberFormat="1">
      <alignment horizontal="left" readingOrder="0"/>
    </xf>
    <xf borderId="0" fillId="0" fontId="4" numFmtId="0" xfId="0" applyFont="1"/>
    <xf borderId="0" fillId="3" fontId="4" numFmtId="0" xfId="0" applyFill="1" applyFont="1"/>
    <xf borderId="0" fillId="0" fontId="11" numFmtId="0" xfId="0" applyAlignment="1" applyFont="1">
      <alignment readingOrder="0"/>
    </xf>
    <xf borderId="0" fillId="4" fontId="4" numFmtId="0" xfId="0" applyFill="1" applyFont="1"/>
    <xf borderId="0" fillId="0" fontId="11" numFmtId="0" xfId="0" applyFont="1"/>
    <xf borderId="11" fillId="0" fontId="10" numFmtId="0" xfId="0" applyBorder="1" applyFont="1"/>
    <xf borderId="12" fillId="0" fontId="4" numFmtId="0" xfId="0" applyBorder="1" applyFont="1"/>
    <xf borderId="12" fillId="0" fontId="4" numFmtId="0" xfId="0" applyAlignment="1" applyBorder="1" applyFont="1">
      <alignment readingOrder="0"/>
    </xf>
    <xf borderId="0" fillId="5" fontId="4" numFmtId="0" xfId="0" applyFill="1" applyFont="1"/>
    <xf borderId="10" fillId="0" fontId="8" numFmtId="0" xfId="0" applyAlignment="1" applyBorder="1" applyFont="1">
      <alignment horizontal="center" readingOrder="0" textRotation="0" vertical="center"/>
    </xf>
    <xf borderId="10" fillId="0" fontId="5" numFmtId="166" xfId="0" applyAlignment="1" applyBorder="1" applyFont="1" applyNumberFormat="1">
      <alignment readingOrder="0"/>
    </xf>
    <xf borderId="10" fillId="0" fontId="9" numFmtId="167" xfId="0" applyAlignment="1" applyBorder="1" applyFont="1" applyNumberFormat="1">
      <alignment horizontal="left" readingOrder="0"/>
    </xf>
    <xf borderId="0" fillId="6" fontId="4" numFmtId="0" xfId="0" applyFill="1" applyFont="1"/>
    <xf borderId="0" fillId="0" fontId="4" numFmtId="168" xfId="0" applyFont="1" applyNumberFormat="1"/>
    <xf borderId="12" fillId="0" fontId="10" numFmtId="0" xfId="0" applyBorder="1" applyFont="1"/>
    <xf borderId="0" fillId="2" fontId="12" numFmtId="0" xfId="0" applyAlignment="1" applyFont="1">
      <alignment readingOrder="0"/>
    </xf>
    <xf borderId="0" fillId="2" fontId="13" numFmtId="0" xfId="0" applyAlignment="1" applyFont="1">
      <alignment readingOrder="0"/>
    </xf>
    <xf borderId="12" fillId="0" fontId="5" numFmtId="166" xfId="0" applyAlignment="1" applyBorder="1" applyFont="1" applyNumberFormat="1">
      <alignment readingOrder="0"/>
    </xf>
    <xf borderId="12" fillId="0" fontId="9" numFmtId="167" xfId="0" applyAlignment="1" applyBorder="1" applyFont="1" applyNumberFormat="1">
      <alignment horizontal="left" readingOrder="0"/>
    </xf>
    <xf borderId="0" fillId="0" fontId="14" numFmtId="166" xfId="0" applyAlignment="1" applyFont="1" applyNumberFormat="1">
      <alignment readingOrder="0"/>
    </xf>
    <xf borderId="9" fillId="0" fontId="15" numFmtId="167" xfId="0" applyAlignment="1" applyBorder="1" applyFont="1" applyNumberFormat="1">
      <alignment horizontal="left" readingOrder="0"/>
    </xf>
    <xf borderId="0" fillId="0" fontId="5" numFmtId="0" xfId="0" applyAlignment="1" applyFont="1">
      <alignment readingOrder="0"/>
    </xf>
    <xf borderId="0" fillId="3" fontId="4" numFmtId="0" xfId="0" applyAlignment="1" applyFont="1">
      <alignment readingOrder="0"/>
    </xf>
    <xf borderId="0" fillId="7" fontId="4" numFmtId="0" xfId="0" applyFill="1" applyFont="1"/>
    <xf borderId="0" fillId="0" fontId="3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14" numFmtId="0" xfId="0" applyAlignment="1" applyFont="1">
      <alignment readingOrder="0"/>
    </xf>
    <xf borderId="6" fillId="0" fontId="5" numFmtId="0" xfId="0" applyBorder="1" applyFont="1"/>
    <xf borderId="7" fillId="0" fontId="7" numFmtId="0" xfId="0" applyAlignment="1" applyBorder="1" applyFont="1">
      <alignment horizontal="left" readingOrder="0" textRotation="90" vertical="center"/>
    </xf>
    <xf borderId="9" fillId="0" fontId="8" numFmtId="0" xfId="0" applyAlignment="1" applyBorder="1" applyFont="1">
      <alignment horizontal="center" readingOrder="0" textRotation="0" vertical="center"/>
    </xf>
    <xf borderId="0" fillId="0" fontId="16" numFmtId="0" xfId="0" applyAlignment="1" applyFont="1">
      <alignment readingOrder="0"/>
    </xf>
    <xf borderId="0" fillId="0" fontId="9" numFmtId="0" xfId="0" applyAlignment="1" applyFont="1">
      <alignment readingOrder="0"/>
    </xf>
    <xf borderId="12" fillId="0" fontId="5" numFmtId="0" xfId="0" applyAlignment="1" applyBorder="1" applyFont="1">
      <alignment readingOrder="0"/>
    </xf>
    <xf borderId="12" fillId="3" fontId="4" numFmtId="0" xfId="0" applyBorder="1" applyFont="1"/>
    <xf borderId="0" fillId="0" fontId="8" numFmtId="0" xfId="0" applyAlignment="1" applyFont="1">
      <alignment horizontal="center" readingOrder="0" textRotation="0" vertical="center"/>
    </xf>
    <xf borderId="0" fillId="0" fontId="17" numFmtId="0" xfId="0" applyAlignment="1" applyFont="1">
      <alignment readingOrder="0"/>
    </xf>
    <xf borderId="12" fillId="0" fontId="14" numFmtId="0" xfId="0" applyAlignment="1" applyBorder="1" applyFont="1">
      <alignment readingOrder="0"/>
    </xf>
    <xf borderId="12" fillId="0" fontId="17" numFmtId="0" xfId="0" applyAlignment="1" applyBorder="1" applyFont="1">
      <alignment readingOrder="0"/>
    </xf>
    <xf borderId="0" fillId="0" fontId="5" numFmtId="0" xfId="0" applyFont="1"/>
    <xf borderId="12" fillId="0" fontId="8" numFmtId="0" xfId="0" applyAlignment="1" applyBorder="1" applyFont="1">
      <alignment horizontal="center" readingOrder="0" textRotation="0" vertical="center"/>
    </xf>
    <xf borderId="0" fillId="2" fontId="18" numFmtId="0" xfId="0" applyAlignment="1" applyFont="1">
      <alignment horizontal="left" readingOrder="0"/>
    </xf>
    <xf borderId="0" fillId="4" fontId="4" numFmtId="0" xfId="0" applyAlignment="1" applyFont="1">
      <alignment readingOrder="0"/>
    </xf>
    <xf borderId="0" fillId="8" fontId="4" numFmtId="0" xfId="0" applyFill="1" applyFont="1"/>
    <xf borderId="0" fillId="0" fontId="6" numFmtId="0" xfId="0" applyAlignment="1" applyFont="1">
      <alignment readingOrder="0"/>
    </xf>
    <xf borderId="9" fillId="0" fontId="5" numFmtId="0" xfId="0" applyAlignment="1" applyBorder="1" applyFont="1">
      <alignment readingOrder="0"/>
    </xf>
    <xf borderId="9" fillId="0" fontId="4" numFmtId="0" xfId="0" applyAlignment="1" applyBorder="1" applyFont="1">
      <alignment readingOrder="0"/>
    </xf>
    <xf borderId="9" fillId="0" fontId="4" numFmtId="0" xfId="0" applyBorder="1" applyFont="1"/>
    <xf borderId="9" fillId="3" fontId="4" numFmtId="0" xfId="0" applyBorder="1" applyFont="1"/>
    <xf borderId="10" fillId="0" fontId="5" numFmtId="0" xfId="0" applyAlignment="1" applyBorder="1" applyFont="1">
      <alignment readingOrder="0"/>
    </xf>
    <xf borderId="10" fillId="0" fontId="1" numFmtId="0" xfId="0" applyAlignment="1" applyBorder="1" applyFont="1">
      <alignment vertical="bottom"/>
    </xf>
    <xf borderId="10" fillId="3" fontId="4" numFmtId="0" xfId="0" applyBorder="1" applyFont="1"/>
    <xf borderId="12" fillId="0" fontId="1" numFmtId="0" xfId="0" applyAlignment="1" applyBorder="1" applyFont="1">
      <alignment vertical="bottom"/>
    </xf>
    <xf borderId="0" fillId="0" fontId="14" numFmtId="166" xfId="0" applyAlignment="1" applyFont="1" applyNumberFormat="1">
      <alignment readingOrder="0"/>
    </xf>
    <xf borderId="10" fillId="0" fontId="9" numFmtId="0" xfId="0" applyAlignment="1" applyBorder="1" applyFont="1">
      <alignment readingOrder="0"/>
    </xf>
    <xf borderId="10" fillId="3" fontId="4" numFmtId="0" xfId="0" applyAlignment="1" applyBorder="1" applyFont="1">
      <alignment readingOrder="0"/>
    </xf>
    <xf borderId="10" fillId="0" fontId="4" numFmtId="0" xfId="0" applyAlignment="1" applyBorder="1" applyFont="1">
      <alignment readingOrder="0"/>
    </xf>
    <xf borderId="12" fillId="4" fontId="4" numFmtId="0" xfId="0" applyAlignment="1" applyBorder="1" applyFont="1">
      <alignment readingOrder="0"/>
    </xf>
    <xf borderId="0" fillId="0" fontId="4" numFmtId="166" xfId="0" applyAlignment="1" applyFont="1" applyNumberFormat="1">
      <alignment readingOrder="0"/>
    </xf>
    <xf borderId="0" fillId="9" fontId="19" numFmtId="0" xfId="0" applyAlignment="1" applyFill="1" applyFont="1">
      <alignment horizontal="left"/>
    </xf>
    <xf borderId="0" fillId="0" fontId="4" numFmtId="165" xfId="0" applyAlignment="1" applyFont="1" applyNumberFormat="1">
      <alignment readingOrder="0"/>
    </xf>
    <xf borderId="12" fillId="5" fontId="4" numFmtId="0" xfId="0" applyBorder="1" applyFont="1"/>
    <xf borderId="12" fillId="3" fontId="4" numFmtId="0" xfId="0" applyAlignment="1" applyBorder="1" applyFont="1">
      <alignment readingOrder="0"/>
    </xf>
    <xf borderId="12" fillId="4" fontId="4" numFmtId="0" xfId="0" applyBorder="1" applyFont="1"/>
    <xf borderId="0" fillId="5" fontId="20" numFmtId="0" xfId="0" applyFont="1"/>
    <xf borderId="12" fillId="6" fontId="4" numFmtId="0" xfId="0" applyBorder="1" applyFont="1"/>
    <xf borderId="0" fillId="0" fontId="1" numFmtId="0" xfId="0" applyAlignment="1" applyFont="1">
      <alignment vertical="bottom"/>
    </xf>
    <xf borderId="0" fillId="8" fontId="4" numFmtId="0" xfId="0" applyAlignment="1" applyFont="1">
      <alignment readingOrder="0"/>
    </xf>
    <xf borderId="0" fillId="7" fontId="9" numFmtId="0" xfId="0" applyAlignment="1" applyFont="1">
      <alignment readingOrder="0"/>
    </xf>
    <xf borderId="12" fillId="7" fontId="4" numFmtId="0" xfId="0" applyAlignment="1" applyBorder="1" applyFont="1">
      <alignment readingOrder="0"/>
    </xf>
    <xf borderId="0" fillId="10" fontId="4" numFmtId="0" xfId="0" applyFill="1" applyFont="1"/>
    <xf borderId="0" fillId="7" fontId="17" numFmtId="0" xfId="0" applyFont="1"/>
    <xf borderId="9" fillId="0" fontId="17" numFmtId="167" xfId="0" applyAlignment="1" applyBorder="1" applyFont="1" applyNumberFormat="1">
      <alignment horizontal="left" readingOrder="0"/>
    </xf>
    <xf borderId="0" fillId="0" fontId="17" numFmtId="167" xfId="0" applyAlignment="1" applyFont="1" applyNumberFormat="1">
      <alignment horizontal="left" readingOrder="0"/>
    </xf>
    <xf borderId="0" fillId="0" fontId="21" numFmtId="0" xfId="0" applyAlignment="1" applyFont="1">
      <alignment readingOrder="0"/>
    </xf>
    <xf borderId="12" fillId="0" fontId="21" numFmtId="0" xfId="0" applyAlignment="1" applyBorder="1" applyFont="1">
      <alignment readingOrder="0"/>
    </xf>
    <xf borderId="0" fillId="0" fontId="22" numFmtId="0" xfId="0" applyAlignment="1" applyFont="1">
      <alignment readingOrder="0"/>
    </xf>
    <xf borderId="12" fillId="0" fontId="22" numFmtId="0" xfId="0" applyAlignment="1" applyBorder="1" applyFont="1">
      <alignment readingOrder="0"/>
    </xf>
    <xf borderId="12" fillId="0" fontId="9" numFmtId="0" xfId="0" applyAlignment="1" applyBorder="1" applyFont="1">
      <alignment readingOrder="0"/>
    </xf>
    <xf borderId="12" fillId="3" fontId="23" numFmtId="0" xfId="0" applyBorder="1" applyFont="1"/>
    <xf borderId="10" fillId="0" fontId="17" numFmtId="0" xfId="0" applyAlignment="1" applyBorder="1" applyFont="1">
      <alignment readingOrder="0"/>
    </xf>
    <xf borderId="10" fillId="0" fontId="14" numFmtId="166" xfId="0" applyAlignment="1" applyBorder="1" applyFont="1" applyNumberFormat="1">
      <alignment readingOrder="0"/>
    </xf>
    <xf borderId="10" fillId="0" fontId="17" numFmtId="167" xfId="0" applyAlignment="1" applyBorder="1" applyFont="1" applyNumberFormat="1">
      <alignment horizontal="left" readingOrder="0"/>
    </xf>
    <xf borderId="0" fillId="0" fontId="16" numFmtId="166" xfId="0" applyAlignment="1" applyFont="1" applyNumberFormat="1">
      <alignment readingOrder="0"/>
    </xf>
    <xf borderId="0" fillId="0" fontId="4" numFmtId="167" xfId="0" applyAlignment="1" applyFont="1" applyNumberFormat="1">
      <alignment horizontal="left" readingOrder="0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16" fillId="0" fontId="5" numFmtId="0" xfId="0" applyAlignment="1" applyBorder="1" applyFont="1">
      <alignment readingOrder="0"/>
    </xf>
    <xf borderId="17" fillId="0" fontId="5" numFmtId="0" xfId="0" applyAlignment="1" applyBorder="1" applyFont="1">
      <alignment readingOrder="0"/>
    </xf>
    <xf borderId="16" fillId="0" fontId="4" numFmtId="0" xfId="0" applyBorder="1" applyFont="1"/>
    <xf borderId="15" fillId="0" fontId="4" numFmtId="0" xfId="0" applyAlignment="1" applyBorder="1" applyFont="1">
      <alignment readingOrder="0"/>
    </xf>
    <xf borderId="16" fillId="0" fontId="4" numFmtId="0" xfId="0" applyAlignment="1" applyBorder="1" applyFont="1">
      <alignment readingOrder="0"/>
    </xf>
    <xf borderId="15" fillId="0" fontId="24" numFmtId="0" xfId="0" applyAlignment="1" applyBorder="1" applyFont="1">
      <alignment readingOrder="0"/>
    </xf>
    <xf borderId="17" fillId="0" fontId="4" numFmtId="0" xfId="0" applyBorder="1" applyFont="1"/>
    <xf borderId="5" fillId="0" fontId="4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>
        <color rgb="FF000000"/>
      </font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20" Type="http://schemas.openxmlformats.org/officeDocument/2006/relationships/worksheet" Target="worksheets/sheet1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22" Type="http://schemas.openxmlformats.org/officeDocument/2006/relationships/worksheet" Target="worksheets/sheet19.xml"/><Relationship Id="rId44" Type="http://schemas.openxmlformats.org/officeDocument/2006/relationships/worksheet" Target="worksheets/sheet41.xml"/><Relationship Id="rId21" Type="http://schemas.openxmlformats.org/officeDocument/2006/relationships/worksheet" Target="worksheets/sheet18.xml"/><Relationship Id="rId43" Type="http://schemas.openxmlformats.org/officeDocument/2006/relationships/worksheet" Target="worksheets/sheet40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88"/>
    <col customWidth="1" min="5" max="5" width="19.75"/>
    <col customWidth="1" min="6" max="7" width="18.38"/>
  </cols>
  <sheetData>
    <row r="2">
      <c r="B2" s="1"/>
      <c r="C2" s="2" t="s">
        <v>0</v>
      </c>
      <c r="D2" s="1"/>
      <c r="E2" s="3" t="s">
        <v>1</v>
      </c>
      <c r="F2" s="1"/>
    </row>
    <row r="3">
      <c r="B3" s="1"/>
      <c r="C3" s="1"/>
      <c r="D3" s="1"/>
      <c r="E3" s="1"/>
      <c r="F3" s="1"/>
    </row>
    <row r="4">
      <c r="B4" s="4" t="s">
        <v>2</v>
      </c>
      <c r="C4" s="4">
        <v>2023.0</v>
      </c>
      <c r="D4" s="4">
        <v>2024.0</v>
      </c>
      <c r="E4" s="5">
        <v>2025.0</v>
      </c>
      <c r="F4" s="6">
        <v>2026.0</v>
      </c>
      <c r="G4" s="6">
        <v>2027.0</v>
      </c>
    </row>
    <row r="5">
      <c r="B5" s="7" t="s">
        <v>3</v>
      </c>
      <c r="C5" s="7" t="s">
        <v>4</v>
      </c>
      <c r="D5" s="7" t="s">
        <v>5</v>
      </c>
      <c r="E5" s="8" t="s">
        <v>4</v>
      </c>
      <c r="F5" s="8" t="s">
        <v>6</v>
      </c>
      <c r="G5" s="9" t="s">
        <v>4</v>
      </c>
    </row>
    <row r="6">
      <c r="B6" s="7" t="s">
        <v>7</v>
      </c>
      <c r="C6" s="7" t="s">
        <v>5</v>
      </c>
      <c r="D6" s="7" t="s">
        <v>5</v>
      </c>
      <c r="E6" s="10" t="s">
        <v>8</v>
      </c>
      <c r="F6" s="10" t="s">
        <v>8</v>
      </c>
      <c r="G6" s="9" t="s">
        <v>5</v>
      </c>
    </row>
    <row r="7">
      <c r="B7" s="7" t="s">
        <v>9</v>
      </c>
      <c r="C7" s="7" t="s">
        <v>10</v>
      </c>
      <c r="D7" s="7" t="s">
        <v>5</v>
      </c>
      <c r="E7" s="8" t="s">
        <v>4</v>
      </c>
      <c r="F7" s="7" t="s">
        <v>5</v>
      </c>
      <c r="G7" s="9" t="s">
        <v>8</v>
      </c>
    </row>
    <row r="8">
      <c r="B8" s="7" t="s">
        <v>11</v>
      </c>
      <c r="C8" s="7" t="s">
        <v>12</v>
      </c>
      <c r="D8" s="7" t="s">
        <v>4</v>
      </c>
      <c r="E8" s="8" t="s">
        <v>5</v>
      </c>
      <c r="F8" s="7" t="s">
        <v>4</v>
      </c>
      <c r="G8" s="9" t="s">
        <v>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5"/>
    <col customWidth="1" min="3" max="3" width="2.88"/>
    <col customWidth="1" min="4" max="4" width="7.5"/>
    <col customWidth="1" min="7" max="8" width="13.38"/>
    <col customWidth="1" min="9" max="9" width="22.63"/>
    <col customWidth="1" min="10" max="10" width="25.38"/>
    <col customWidth="1" min="14" max="14" width="23.63"/>
    <col customWidth="1" min="16" max="16" width="14.25"/>
  </cols>
  <sheetData>
    <row r="1">
      <c r="A1" s="11">
        <v>45658.0</v>
      </c>
      <c r="B1" s="12" t="s">
        <v>13</v>
      </c>
      <c r="C1" s="13"/>
      <c r="D1" s="14"/>
      <c r="E1" s="15" t="s">
        <v>5</v>
      </c>
      <c r="F1" s="15" t="s">
        <v>14</v>
      </c>
      <c r="G1" s="12"/>
      <c r="H1" s="12"/>
      <c r="I1" s="12" t="s">
        <v>15</v>
      </c>
      <c r="J1" s="12" t="s">
        <v>16</v>
      </c>
    </row>
    <row r="2">
      <c r="A2" s="16">
        <f>A1</f>
        <v>45658</v>
      </c>
      <c r="B2" s="17">
        <f>WEEKNUM(A1)</f>
        <v>1</v>
      </c>
      <c r="C2" s="18">
        <f>A1-WEEKDAY(A1,2)+1</f>
        <v>45656</v>
      </c>
      <c r="D2" s="19">
        <f t="shared" ref="D2:D43" si="1">C2</f>
        <v>45656</v>
      </c>
      <c r="F2" s="20"/>
      <c r="N2" s="21"/>
    </row>
    <row r="3">
      <c r="A3" s="22"/>
      <c r="B3" s="23"/>
      <c r="C3" s="18">
        <f t="shared" ref="C3:C43" si="2">C2+1</f>
        <v>45657</v>
      </c>
      <c r="D3" s="24">
        <f t="shared" si="1"/>
        <v>45657</v>
      </c>
      <c r="N3" s="21"/>
    </row>
    <row r="4">
      <c r="A4" s="22"/>
      <c r="B4" s="23"/>
      <c r="C4" s="18">
        <f t="shared" si="2"/>
        <v>45658</v>
      </c>
      <c r="D4" s="24">
        <f t="shared" si="1"/>
        <v>45658</v>
      </c>
      <c r="E4" s="25"/>
      <c r="N4" s="21"/>
    </row>
    <row r="5">
      <c r="A5" s="22"/>
      <c r="B5" s="23"/>
      <c r="C5" s="18">
        <f t="shared" si="2"/>
        <v>45659</v>
      </c>
      <c r="D5" s="24">
        <f t="shared" si="1"/>
        <v>45659</v>
      </c>
      <c r="E5" s="25"/>
      <c r="M5" s="26"/>
      <c r="N5" s="21" t="s">
        <v>17</v>
      </c>
      <c r="Q5" s="27"/>
      <c r="R5" s="27">
        <v>1.0</v>
      </c>
    </row>
    <row r="6">
      <c r="A6" s="22"/>
      <c r="B6" s="23"/>
      <c r="C6" s="18">
        <f t="shared" si="2"/>
        <v>45660</v>
      </c>
      <c r="D6" s="24">
        <f t="shared" si="1"/>
        <v>45660</v>
      </c>
      <c r="E6" s="25"/>
      <c r="M6" s="28"/>
      <c r="N6" s="21" t="s">
        <v>18</v>
      </c>
      <c r="Q6" s="27"/>
      <c r="R6" s="27">
        <v>2.0</v>
      </c>
    </row>
    <row r="7">
      <c r="A7" s="22"/>
      <c r="B7" s="23"/>
      <c r="C7" s="18">
        <f t="shared" si="2"/>
        <v>45661</v>
      </c>
      <c r="D7" s="24">
        <f t="shared" si="1"/>
        <v>45661</v>
      </c>
      <c r="E7" s="25"/>
      <c r="Q7" s="29"/>
      <c r="R7" s="27">
        <v>3.0</v>
      </c>
    </row>
    <row r="8">
      <c r="A8" s="22"/>
      <c r="B8" s="30"/>
      <c r="C8" s="18">
        <f t="shared" si="2"/>
        <v>45662</v>
      </c>
      <c r="D8" s="24">
        <f t="shared" si="1"/>
        <v>45662</v>
      </c>
      <c r="E8" s="31"/>
      <c r="F8" s="31"/>
      <c r="G8" s="32"/>
      <c r="H8" s="32"/>
      <c r="I8" s="32"/>
      <c r="J8" s="31"/>
      <c r="M8" s="33"/>
      <c r="N8" s="21" t="s">
        <v>19</v>
      </c>
      <c r="Q8" s="29"/>
      <c r="R8" s="27">
        <v>4.0</v>
      </c>
    </row>
    <row r="9">
      <c r="A9" s="22"/>
      <c r="B9" s="34">
        <f>B2+1</f>
        <v>2</v>
      </c>
      <c r="C9" s="35">
        <f t="shared" si="2"/>
        <v>45663</v>
      </c>
      <c r="D9" s="36">
        <f t="shared" si="1"/>
        <v>45663</v>
      </c>
      <c r="F9" s="20"/>
      <c r="G9" s="20"/>
      <c r="H9" s="20"/>
      <c r="I9" s="20"/>
      <c r="J9" s="20"/>
      <c r="M9" s="37"/>
      <c r="N9" s="21" t="s">
        <v>20</v>
      </c>
      <c r="Q9" s="29"/>
      <c r="R9" s="27">
        <v>5.0</v>
      </c>
    </row>
    <row r="10">
      <c r="A10" s="22"/>
      <c r="C10" s="18">
        <f t="shared" si="2"/>
        <v>45664</v>
      </c>
      <c r="D10" s="24">
        <f t="shared" si="1"/>
        <v>45664</v>
      </c>
      <c r="F10" s="25"/>
      <c r="Q10" s="29"/>
      <c r="R10" s="27">
        <v>6.0</v>
      </c>
    </row>
    <row r="11">
      <c r="A11" s="22"/>
      <c r="C11" s="18">
        <f t="shared" si="2"/>
        <v>45665</v>
      </c>
      <c r="D11" s="24">
        <f t="shared" si="1"/>
        <v>45665</v>
      </c>
      <c r="F11" s="25"/>
      <c r="Q11" s="29"/>
      <c r="R11" s="27">
        <v>7.0</v>
      </c>
    </row>
    <row r="12">
      <c r="A12" s="22"/>
      <c r="C12" s="18">
        <f t="shared" si="2"/>
        <v>45666</v>
      </c>
      <c r="D12" s="24">
        <f t="shared" si="1"/>
        <v>45666</v>
      </c>
      <c r="F12" s="25"/>
      <c r="K12" s="38"/>
    </row>
    <row r="13">
      <c r="A13" s="22"/>
      <c r="C13" s="18">
        <f t="shared" si="2"/>
        <v>45667</v>
      </c>
      <c r="D13" s="24">
        <f t="shared" si="1"/>
        <v>45667</v>
      </c>
      <c r="F13" s="25"/>
    </row>
    <row r="14">
      <c r="A14" s="22"/>
      <c r="C14" s="18">
        <f t="shared" si="2"/>
        <v>45668</v>
      </c>
      <c r="D14" s="24">
        <f t="shared" si="1"/>
        <v>45668</v>
      </c>
      <c r="F14" s="25"/>
    </row>
    <row r="15">
      <c r="A15" s="22"/>
      <c r="B15" s="39"/>
      <c r="C15" s="18">
        <f t="shared" si="2"/>
        <v>45669</v>
      </c>
      <c r="D15" s="24">
        <f t="shared" si="1"/>
        <v>45669</v>
      </c>
      <c r="E15" s="31"/>
      <c r="F15" s="31"/>
      <c r="G15" s="31"/>
      <c r="H15" s="31"/>
      <c r="I15" s="31"/>
      <c r="J15" s="31"/>
    </row>
    <row r="16">
      <c r="A16" s="22"/>
      <c r="B16" s="34">
        <f>B9+1</f>
        <v>3</v>
      </c>
      <c r="C16" s="35">
        <f t="shared" si="2"/>
        <v>45670</v>
      </c>
      <c r="D16" s="36">
        <f t="shared" si="1"/>
        <v>45670</v>
      </c>
      <c r="E16" s="25"/>
      <c r="F16" s="20"/>
      <c r="I16" s="20"/>
      <c r="J16" s="20"/>
      <c r="N16" s="40"/>
      <c r="O16" s="41"/>
      <c r="P16" s="41"/>
      <c r="R16" s="41"/>
    </row>
    <row r="17">
      <c r="A17" s="22"/>
      <c r="C17" s="18">
        <f t="shared" si="2"/>
        <v>45671</v>
      </c>
      <c r="D17" s="24">
        <f t="shared" si="1"/>
        <v>45671</v>
      </c>
      <c r="E17" s="25"/>
      <c r="N17" s="40"/>
      <c r="O17" s="41"/>
      <c r="P17" s="41"/>
      <c r="R17" s="41"/>
    </row>
    <row r="18">
      <c r="A18" s="22"/>
      <c r="C18" s="18">
        <f t="shared" si="2"/>
        <v>45672</v>
      </c>
      <c r="D18" s="24">
        <f t="shared" si="1"/>
        <v>45672</v>
      </c>
      <c r="E18" s="25"/>
      <c r="N18" s="40"/>
      <c r="O18" s="41"/>
      <c r="P18" s="41"/>
      <c r="R18" s="41"/>
    </row>
    <row r="19">
      <c r="A19" s="22"/>
      <c r="C19" s="18">
        <f t="shared" si="2"/>
        <v>45673</v>
      </c>
      <c r="D19" s="24">
        <f t="shared" si="1"/>
        <v>45673</v>
      </c>
      <c r="E19" s="25"/>
      <c r="G19" s="21"/>
      <c r="N19" s="40"/>
      <c r="O19" s="41"/>
      <c r="P19" s="41"/>
      <c r="R19" s="41"/>
    </row>
    <row r="20">
      <c r="A20" s="22"/>
      <c r="C20" s="18">
        <f t="shared" si="2"/>
        <v>45674</v>
      </c>
      <c r="D20" s="24">
        <f t="shared" si="1"/>
        <v>45674</v>
      </c>
      <c r="E20" s="25"/>
      <c r="N20" s="40"/>
      <c r="O20" s="41"/>
      <c r="P20" s="41"/>
      <c r="R20" s="41"/>
    </row>
    <row r="21">
      <c r="A21" s="22"/>
      <c r="C21" s="18">
        <f t="shared" si="2"/>
        <v>45675</v>
      </c>
      <c r="D21" s="24">
        <f t="shared" si="1"/>
        <v>45675</v>
      </c>
      <c r="E21" s="25"/>
      <c r="N21" s="40"/>
      <c r="O21" s="41"/>
      <c r="P21" s="41"/>
      <c r="R21" s="41"/>
    </row>
    <row r="22">
      <c r="A22" s="22"/>
      <c r="B22" s="39"/>
      <c r="C22" s="18">
        <f t="shared" si="2"/>
        <v>45676</v>
      </c>
      <c r="D22" s="24">
        <f t="shared" si="1"/>
        <v>45676</v>
      </c>
      <c r="E22" s="31"/>
      <c r="F22" s="31"/>
      <c r="G22" s="31"/>
      <c r="H22" s="31"/>
      <c r="I22" s="32"/>
      <c r="J22" s="31"/>
      <c r="N22" s="40"/>
      <c r="O22" s="41"/>
      <c r="P22" s="41"/>
      <c r="R22" s="41"/>
    </row>
    <row r="23">
      <c r="A23" s="22"/>
      <c r="B23" s="34">
        <f>B16+1</f>
        <v>4</v>
      </c>
      <c r="C23" s="35">
        <f t="shared" si="2"/>
        <v>45677</v>
      </c>
      <c r="D23" s="36">
        <f t="shared" si="1"/>
        <v>45677</v>
      </c>
      <c r="F23" s="20"/>
      <c r="G23" s="20"/>
      <c r="H23" s="20"/>
      <c r="J23" s="20"/>
      <c r="N23" s="40"/>
      <c r="O23" s="41"/>
      <c r="P23" s="41"/>
      <c r="R23" s="41"/>
    </row>
    <row r="24">
      <c r="A24" s="22"/>
      <c r="C24" s="18">
        <f t="shared" si="2"/>
        <v>45678</v>
      </c>
      <c r="D24" s="24">
        <f t="shared" si="1"/>
        <v>45678</v>
      </c>
      <c r="F24" s="25"/>
      <c r="N24" s="40"/>
      <c r="O24" s="41"/>
      <c r="P24" s="41"/>
      <c r="R24" s="41"/>
    </row>
    <row r="25">
      <c r="A25" s="22"/>
      <c r="C25" s="18">
        <f t="shared" si="2"/>
        <v>45679</v>
      </c>
      <c r="D25" s="24">
        <f t="shared" si="1"/>
        <v>45679</v>
      </c>
      <c r="F25" s="25"/>
      <c r="N25" s="40"/>
      <c r="O25" s="41"/>
      <c r="P25" s="41"/>
      <c r="R25" s="41"/>
    </row>
    <row r="26">
      <c r="A26" s="22"/>
      <c r="C26" s="18">
        <f t="shared" si="2"/>
        <v>45680</v>
      </c>
      <c r="D26" s="24">
        <f t="shared" si="1"/>
        <v>45680</v>
      </c>
      <c r="F26" s="25"/>
      <c r="N26" s="40"/>
      <c r="O26" s="41"/>
      <c r="P26" s="41"/>
      <c r="R26" s="41"/>
    </row>
    <row r="27">
      <c r="A27" s="22"/>
      <c r="C27" s="18">
        <f t="shared" si="2"/>
        <v>45681</v>
      </c>
      <c r="D27" s="24">
        <f t="shared" si="1"/>
        <v>45681</v>
      </c>
      <c r="F27" s="25"/>
      <c r="N27" s="40"/>
      <c r="O27" s="41"/>
      <c r="P27" s="41"/>
      <c r="R27" s="41"/>
    </row>
    <row r="28">
      <c r="A28" s="22"/>
      <c r="C28" s="18">
        <f t="shared" si="2"/>
        <v>45682</v>
      </c>
      <c r="D28" s="24">
        <f t="shared" si="1"/>
        <v>45682</v>
      </c>
      <c r="F28" s="25"/>
      <c r="N28" s="40"/>
      <c r="O28" s="41"/>
      <c r="P28" s="41"/>
      <c r="R28" s="41"/>
    </row>
    <row r="29">
      <c r="A29" s="22"/>
      <c r="B29" s="39"/>
      <c r="C29" s="18">
        <f t="shared" si="2"/>
        <v>45683</v>
      </c>
      <c r="D29" s="24">
        <f t="shared" si="1"/>
        <v>45683</v>
      </c>
      <c r="E29" s="31"/>
      <c r="F29" s="31"/>
      <c r="G29" s="31"/>
      <c r="H29" s="31"/>
      <c r="I29" s="32"/>
      <c r="J29" s="31"/>
      <c r="N29" s="40"/>
      <c r="O29" s="41"/>
      <c r="P29" s="41"/>
      <c r="R29" s="41"/>
    </row>
    <row r="30">
      <c r="A30" s="22"/>
      <c r="B30" s="34">
        <f>B23+1</f>
        <v>5</v>
      </c>
      <c r="C30" s="35">
        <f t="shared" si="2"/>
        <v>45684</v>
      </c>
      <c r="D30" s="36">
        <f t="shared" si="1"/>
        <v>45684</v>
      </c>
      <c r="E30" s="25"/>
      <c r="F30" s="20"/>
      <c r="G30" s="20"/>
      <c r="J30" s="20"/>
      <c r="N30" s="40"/>
      <c r="O30" s="41"/>
      <c r="P30" s="41"/>
      <c r="R30" s="41"/>
    </row>
    <row r="31">
      <c r="A31" s="22"/>
      <c r="C31" s="18">
        <f t="shared" si="2"/>
        <v>45685</v>
      </c>
      <c r="D31" s="24">
        <f t="shared" si="1"/>
        <v>45685</v>
      </c>
      <c r="E31" s="25"/>
      <c r="N31" s="40"/>
      <c r="O31" s="41"/>
      <c r="P31" s="41"/>
      <c r="R31" s="41"/>
    </row>
    <row r="32">
      <c r="A32" s="22"/>
      <c r="C32" s="18">
        <f t="shared" si="2"/>
        <v>45686</v>
      </c>
      <c r="D32" s="24">
        <f t="shared" si="1"/>
        <v>45686</v>
      </c>
      <c r="E32" s="25"/>
      <c r="N32" s="40"/>
      <c r="O32" s="41"/>
      <c r="P32" s="41"/>
      <c r="R32" s="41"/>
    </row>
    <row r="33">
      <c r="A33" s="22"/>
      <c r="C33" s="18">
        <f t="shared" si="2"/>
        <v>45687</v>
      </c>
      <c r="D33" s="24">
        <f t="shared" si="1"/>
        <v>45687</v>
      </c>
      <c r="E33" s="25"/>
      <c r="N33" s="40"/>
      <c r="O33" s="41"/>
      <c r="P33" s="41"/>
      <c r="R33" s="41"/>
    </row>
    <row r="34">
      <c r="A34" s="22"/>
      <c r="C34" s="18">
        <f t="shared" si="2"/>
        <v>45688</v>
      </c>
      <c r="D34" s="24">
        <f t="shared" si="1"/>
        <v>45688</v>
      </c>
      <c r="E34" s="25"/>
      <c r="N34" s="40"/>
      <c r="O34" s="41"/>
      <c r="P34" s="41"/>
      <c r="R34" s="41"/>
    </row>
    <row r="35">
      <c r="A35" s="22"/>
      <c r="C35" s="18">
        <f t="shared" si="2"/>
        <v>45689</v>
      </c>
      <c r="D35" s="24">
        <f t="shared" si="1"/>
        <v>45689</v>
      </c>
      <c r="N35" s="40"/>
      <c r="O35" s="41"/>
      <c r="P35" s="41"/>
      <c r="R35" s="41"/>
    </row>
    <row r="36">
      <c r="A36" s="22"/>
      <c r="B36" s="39"/>
      <c r="C36" s="18">
        <f t="shared" si="2"/>
        <v>45690</v>
      </c>
      <c r="D36" s="24">
        <f t="shared" si="1"/>
        <v>45690</v>
      </c>
      <c r="E36" s="31"/>
      <c r="F36" s="31"/>
      <c r="N36" s="40"/>
      <c r="O36" s="41"/>
      <c r="P36" s="41"/>
      <c r="R36" s="41"/>
    </row>
    <row r="37">
      <c r="A37" s="22"/>
      <c r="B37" s="34">
        <f>B30+1</f>
        <v>6</v>
      </c>
      <c r="C37" s="35">
        <f t="shared" si="2"/>
        <v>45691</v>
      </c>
      <c r="D37" s="36">
        <f t="shared" si="1"/>
        <v>45691</v>
      </c>
      <c r="F37" s="20"/>
      <c r="G37" s="20"/>
      <c r="H37" s="20"/>
      <c r="I37" s="20"/>
      <c r="J37" s="20"/>
    </row>
    <row r="38">
      <c r="A38" s="22"/>
      <c r="C38" s="18">
        <f t="shared" si="2"/>
        <v>45692</v>
      </c>
      <c r="D38" s="24">
        <f t="shared" si="1"/>
        <v>45692</v>
      </c>
    </row>
    <row r="39">
      <c r="A39" s="22"/>
      <c r="C39" s="18">
        <f t="shared" si="2"/>
        <v>45693</v>
      </c>
      <c r="D39" s="24">
        <f t="shared" si="1"/>
        <v>45693</v>
      </c>
    </row>
    <row r="40">
      <c r="A40" s="22"/>
      <c r="C40" s="18">
        <f t="shared" si="2"/>
        <v>45694</v>
      </c>
      <c r="D40" s="24">
        <f t="shared" si="1"/>
        <v>45694</v>
      </c>
    </row>
    <row r="41">
      <c r="A41" s="22"/>
      <c r="C41" s="18">
        <f t="shared" si="2"/>
        <v>45695</v>
      </c>
      <c r="D41" s="24">
        <f t="shared" si="1"/>
        <v>45695</v>
      </c>
    </row>
    <row r="42">
      <c r="A42" s="22"/>
      <c r="C42" s="18">
        <f t="shared" si="2"/>
        <v>45696</v>
      </c>
      <c r="D42" s="24">
        <f t="shared" si="1"/>
        <v>45696</v>
      </c>
    </row>
    <row r="43">
      <c r="A43" s="22"/>
      <c r="B43" s="39"/>
      <c r="C43" s="42">
        <f t="shared" si="2"/>
        <v>45697</v>
      </c>
      <c r="D43" s="43">
        <f t="shared" si="1"/>
        <v>45697</v>
      </c>
      <c r="E43" s="31"/>
      <c r="F43" s="31"/>
      <c r="G43" s="31"/>
      <c r="H43" s="31"/>
      <c r="I43" s="31"/>
      <c r="J43" s="31"/>
    </row>
  </sheetData>
  <autoFilter ref="$C$1:$C$1003">
    <sortState ref="C1:C1003">
      <sortCondition descending="1" sortBy="cellColor" ref="C1:C1003" dxfId="1"/>
    </sortState>
  </autoFilter>
  <mergeCells count="7">
    <mergeCell ref="A2:A43"/>
    <mergeCell ref="B2:B8"/>
    <mergeCell ref="B9:B15"/>
    <mergeCell ref="B16:B22"/>
    <mergeCell ref="B23:B29"/>
    <mergeCell ref="B30:B36"/>
    <mergeCell ref="B37:B43"/>
  </mergeCells>
  <conditionalFormatting sqref="C2:C43">
    <cfRule type="timePeriod" dxfId="2" priority="3" timePeriod="today"/>
  </conditionalFormatting>
  <conditionalFormatting sqref="E2:E43">
    <cfRule type="expression" dxfId="3" priority="4">
      <formula>AND(MONTH($A$1)=MONTH(C2),OR(AND(MOD(WEEKNUM(C2,2),2),ISERROR(MATCH(WEEKDAY(C2,2),$Q$5:$Q$11,0))),AND(MOD(WEEKNUM(C2,2),2)=0,ISERROR(MATCH(WEEKDAY(C2,2),$R$5:$R$11,0)))))</formula>
    </cfRule>
  </conditionalFormatting>
  <conditionalFormatting sqref="F2:F43">
    <cfRule type="expression" dxfId="3" priority="5">
      <formula>AND(MONTH($A$1)=MONTH(C2),OR(AND(MOD(WEEKNUM(C2,2),2),NOT(ISERROR(MATCH(WEEKDAY(C2,2),$Q$5:$Q$11,0)))),AND(MOD(WEEKNUM(C2,2),2)=0,NOT(ISERROR(MATCH(WEEKDAY(C2,2),$R$5:$R$11,0))))))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5"/>
    <col customWidth="1" min="3" max="3" width="2.88"/>
    <col customWidth="1" min="4" max="4" width="7.5"/>
    <col customWidth="1" min="7" max="7" width="38.88"/>
    <col customWidth="1" min="8" max="8" width="13.38"/>
    <col customWidth="1" min="9" max="9" width="22.63"/>
    <col customWidth="1" min="10" max="10" width="46.63"/>
    <col customWidth="1" min="14" max="14" width="23.63"/>
    <col customWidth="1" min="16" max="16" width="14.25"/>
  </cols>
  <sheetData>
    <row r="1">
      <c r="A1" s="11">
        <v>45383.0</v>
      </c>
      <c r="B1" s="12" t="s">
        <v>13</v>
      </c>
      <c r="C1" s="13"/>
      <c r="D1" s="14"/>
      <c r="E1" s="15" t="s">
        <v>5</v>
      </c>
      <c r="F1" s="15" t="s">
        <v>14</v>
      </c>
      <c r="G1" s="12"/>
      <c r="H1" s="12"/>
      <c r="I1" s="12" t="s">
        <v>15</v>
      </c>
      <c r="J1" s="12" t="s">
        <v>16</v>
      </c>
    </row>
    <row r="2">
      <c r="A2" s="16">
        <f>A1</f>
        <v>45383</v>
      </c>
      <c r="B2" s="17">
        <f>WEEKNUM(A1)</f>
        <v>14</v>
      </c>
      <c r="C2" s="44">
        <f>A1-WEEKDAY(A1,2)+1</f>
        <v>45383</v>
      </c>
      <c r="D2" s="45">
        <f t="shared" ref="D2:D43" si="1">C2</f>
        <v>45383</v>
      </c>
      <c r="E2" s="26"/>
      <c r="F2" s="28"/>
      <c r="G2" s="21" t="s">
        <v>21</v>
      </c>
      <c r="I2" s="21" t="s">
        <v>22</v>
      </c>
      <c r="N2" s="21"/>
    </row>
    <row r="3">
      <c r="A3" s="22"/>
      <c r="B3" s="23"/>
      <c r="C3" s="18">
        <f t="shared" ref="C3:C43" si="2">C2+1</f>
        <v>45384</v>
      </c>
      <c r="D3" s="24">
        <f t="shared" si="1"/>
        <v>45384</v>
      </c>
      <c r="F3" s="25"/>
      <c r="I3" s="21" t="s">
        <v>22</v>
      </c>
      <c r="N3" s="21"/>
    </row>
    <row r="4">
      <c r="A4" s="22"/>
      <c r="B4" s="23"/>
      <c r="C4" s="18">
        <f t="shared" si="2"/>
        <v>45385</v>
      </c>
      <c r="D4" s="24">
        <f t="shared" si="1"/>
        <v>45385</v>
      </c>
      <c r="F4" s="25"/>
      <c r="N4" s="21"/>
    </row>
    <row r="5">
      <c r="A5" s="22"/>
      <c r="B5" s="23"/>
      <c r="C5" s="18">
        <f t="shared" si="2"/>
        <v>45386</v>
      </c>
      <c r="D5" s="24">
        <f t="shared" si="1"/>
        <v>45386</v>
      </c>
      <c r="F5" s="25"/>
      <c r="M5" s="26"/>
      <c r="N5" s="21" t="s">
        <v>17</v>
      </c>
      <c r="Q5" s="27"/>
      <c r="R5" s="27">
        <v>1.0</v>
      </c>
    </row>
    <row r="6">
      <c r="A6" s="22"/>
      <c r="B6" s="23"/>
      <c r="C6" s="18">
        <f t="shared" si="2"/>
        <v>45387</v>
      </c>
      <c r="D6" s="24">
        <f t="shared" si="1"/>
        <v>45387</v>
      </c>
      <c r="F6" s="25"/>
      <c r="G6" s="21" t="s">
        <v>23</v>
      </c>
      <c r="M6" s="28"/>
      <c r="N6" s="21" t="s">
        <v>18</v>
      </c>
      <c r="Q6" s="27"/>
      <c r="R6" s="27">
        <v>2.0</v>
      </c>
    </row>
    <row r="7">
      <c r="A7" s="22"/>
      <c r="B7" s="23"/>
      <c r="C7" s="18">
        <f t="shared" si="2"/>
        <v>45388</v>
      </c>
      <c r="D7" s="24">
        <f t="shared" si="1"/>
        <v>45388</v>
      </c>
      <c r="F7" s="25"/>
      <c r="Q7" s="29"/>
      <c r="R7" s="27">
        <v>3.0</v>
      </c>
    </row>
    <row r="8">
      <c r="A8" s="22"/>
      <c r="B8" s="30"/>
      <c r="C8" s="18">
        <f t="shared" si="2"/>
        <v>45389</v>
      </c>
      <c r="D8" s="24">
        <f t="shared" si="1"/>
        <v>45389</v>
      </c>
      <c r="E8" s="31"/>
      <c r="F8" s="31"/>
      <c r="G8" s="32" t="s">
        <v>24</v>
      </c>
      <c r="H8" s="32"/>
      <c r="I8" s="32"/>
      <c r="J8" s="31"/>
      <c r="M8" s="33"/>
      <c r="N8" s="21" t="s">
        <v>19</v>
      </c>
      <c r="Q8" s="29"/>
      <c r="R8" s="27">
        <v>4.0</v>
      </c>
    </row>
    <row r="9">
      <c r="A9" s="22"/>
      <c r="B9" s="34">
        <f>B2+1</f>
        <v>15</v>
      </c>
      <c r="C9" s="35">
        <f t="shared" si="2"/>
        <v>45390</v>
      </c>
      <c r="D9" s="36">
        <f t="shared" si="1"/>
        <v>45390</v>
      </c>
      <c r="E9" s="28"/>
      <c r="F9" s="25"/>
      <c r="G9" s="20"/>
      <c r="H9" s="20"/>
      <c r="I9" s="20"/>
      <c r="J9" s="21" t="s">
        <v>25</v>
      </c>
      <c r="M9" s="37"/>
      <c r="N9" s="21" t="s">
        <v>20</v>
      </c>
      <c r="Q9" s="29"/>
      <c r="R9" s="27">
        <v>5.0</v>
      </c>
    </row>
    <row r="10">
      <c r="A10" s="22"/>
      <c r="C10" s="18">
        <f t="shared" si="2"/>
        <v>45391</v>
      </c>
      <c r="D10" s="24">
        <f t="shared" si="1"/>
        <v>45391</v>
      </c>
      <c r="E10" s="28"/>
      <c r="F10" s="21" t="s">
        <v>26</v>
      </c>
      <c r="G10" s="21" t="s">
        <v>27</v>
      </c>
      <c r="J10" s="21" t="s">
        <v>25</v>
      </c>
      <c r="Q10" s="29"/>
      <c r="R10" s="27">
        <v>6.0</v>
      </c>
    </row>
    <row r="11">
      <c r="A11" s="22"/>
      <c r="C11" s="18">
        <f t="shared" si="2"/>
        <v>45392</v>
      </c>
      <c r="D11" s="24">
        <f t="shared" si="1"/>
        <v>45392</v>
      </c>
      <c r="E11" s="25"/>
      <c r="F11" s="21" t="s">
        <v>26</v>
      </c>
      <c r="Q11" s="29"/>
      <c r="R11" s="27">
        <v>7.0</v>
      </c>
    </row>
    <row r="12">
      <c r="A12" s="22"/>
      <c r="C12" s="18">
        <f t="shared" si="2"/>
        <v>45393</v>
      </c>
      <c r="D12" s="24">
        <f t="shared" si="1"/>
        <v>45393</v>
      </c>
      <c r="E12" s="21" t="s">
        <v>28</v>
      </c>
      <c r="K12" s="38"/>
    </row>
    <row r="13">
      <c r="A13" s="22"/>
      <c r="C13" s="18">
        <f t="shared" si="2"/>
        <v>45394</v>
      </c>
      <c r="D13" s="24">
        <f t="shared" si="1"/>
        <v>45394</v>
      </c>
      <c r="E13" s="25"/>
    </row>
    <row r="14">
      <c r="A14" s="22"/>
      <c r="C14" s="18">
        <f t="shared" si="2"/>
        <v>45395</v>
      </c>
      <c r="D14" s="24">
        <f t="shared" si="1"/>
        <v>45395</v>
      </c>
      <c r="E14" s="25"/>
    </row>
    <row r="15">
      <c r="A15" s="22"/>
      <c r="B15" s="39"/>
      <c r="C15" s="18">
        <f t="shared" si="2"/>
        <v>45396</v>
      </c>
      <c r="D15" s="24">
        <f t="shared" si="1"/>
        <v>45396</v>
      </c>
      <c r="E15" s="31"/>
      <c r="F15" s="31"/>
      <c r="G15" s="31"/>
      <c r="H15" s="31"/>
      <c r="I15" s="31"/>
      <c r="J15" s="31"/>
    </row>
    <row r="16">
      <c r="A16" s="22"/>
      <c r="B16" s="34">
        <f>B9+1</f>
        <v>16</v>
      </c>
      <c r="C16" s="35">
        <f t="shared" si="2"/>
        <v>45397</v>
      </c>
      <c r="D16" s="36">
        <f t="shared" si="1"/>
        <v>45397</v>
      </c>
      <c r="F16" s="20"/>
      <c r="I16" s="20"/>
      <c r="J16" s="20"/>
      <c r="N16" s="40"/>
      <c r="O16" s="41"/>
      <c r="P16" s="41"/>
      <c r="R16" s="41"/>
    </row>
    <row r="17">
      <c r="A17" s="22"/>
      <c r="C17" s="18">
        <f t="shared" si="2"/>
        <v>45398</v>
      </c>
      <c r="D17" s="24">
        <f t="shared" si="1"/>
        <v>45398</v>
      </c>
      <c r="F17" s="21" t="s">
        <v>26</v>
      </c>
      <c r="G17" s="21" t="s">
        <v>29</v>
      </c>
      <c r="N17" s="40"/>
      <c r="O17" s="41"/>
      <c r="P17" s="41"/>
      <c r="R17" s="41"/>
    </row>
    <row r="18">
      <c r="A18" s="22"/>
      <c r="C18" s="18">
        <f t="shared" si="2"/>
        <v>45399</v>
      </c>
      <c r="D18" s="24">
        <f t="shared" si="1"/>
        <v>45399</v>
      </c>
      <c r="F18" s="21" t="s">
        <v>26</v>
      </c>
      <c r="N18" s="40"/>
      <c r="O18" s="41"/>
      <c r="P18" s="41"/>
      <c r="R18" s="41"/>
    </row>
    <row r="19">
      <c r="A19" s="22"/>
      <c r="C19" s="18">
        <f t="shared" si="2"/>
        <v>45400</v>
      </c>
      <c r="D19" s="24">
        <f t="shared" si="1"/>
        <v>45400</v>
      </c>
      <c r="F19" s="25"/>
      <c r="G19" s="21"/>
      <c r="N19" s="40"/>
      <c r="O19" s="41"/>
      <c r="P19" s="41"/>
      <c r="R19" s="41"/>
    </row>
    <row r="20">
      <c r="A20" s="22"/>
      <c r="C20" s="18">
        <f t="shared" si="2"/>
        <v>45401</v>
      </c>
      <c r="D20" s="24">
        <f t="shared" si="1"/>
        <v>45401</v>
      </c>
      <c r="F20" s="25"/>
      <c r="N20" s="40"/>
      <c r="O20" s="41"/>
      <c r="P20" s="41"/>
      <c r="R20" s="41"/>
    </row>
    <row r="21">
      <c r="A21" s="22"/>
      <c r="C21" s="18">
        <f t="shared" si="2"/>
        <v>45402</v>
      </c>
      <c r="D21" s="24">
        <f t="shared" si="1"/>
        <v>45402</v>
      </c>
      <c r="F21" s="25"/>
      <c r="N21" s="40"/>
      <c r="O21" s="41"/>
      <c r="P21" s="41"/>
      <c r="R21" s="41"/>
    </row>
    <row r="22">
      <c r="A22" s="22"/>
      <c r="B22" s="39"/>
      <c r="C22" s="18">
        <f t="shared" si="2"/>
        <v>45403</v>
      </c>
      <c r="D22" s="24">
        <f t="shared" si="1"/>
        <v>45403</v>
      </c>
      <c r="E22" s="31"/>
      <c r="F22" s="31"/>
      <c r="G22" s="31"/>
      <c r="H22" s="31"/>
      <c r="I22" s="32"/>
      <c r="J22" s="31"/>
      <c r="N22" s="40"/>
      <c r="O22" s="41"/>
      <c r="P22" s="41"/>
      <c r="R22" s="41"/>
    </row>
    <row r="23">
      <c r="A23" s="22"/>
      <c r="B23" s="34">
        <f>B16+1</f>
        <v>17</v>
      </c>
      <c r="C23" s="35">
        <f t="shared" si="2"/>
        <v>45404</v>
      </c>
      <c r="D23" s="36">
        <f t="shared" si="1"/>
        <v>45404</v>
      </c>
      <c r="E23" s="25"/>
      <c r="F23" s="20"/>
      <c r="G23" s="20"/>
      <c r="H23" s="20"/>
      <c r="J23" s="20"/>
      <c r="N23" s="40"/>
      <c r="O23" s="41"/>
      <c r="P23" s="41"/>
      <c r="R23" s="41"/>
    </row>
    <row r="24">
      <c r="A24" s="22"/>
      <c r="C24" s="18">
        <f t="shared" si="2"/>
        <v>45405</v>
      </c>
      <c r="D24" s="24">
        <f t="shared" si="1"/>
        <v>45405</v>
      </c>
      <c r="E24" s="25"/>
      <c r="N24" s="40"/>
      <c r="O24" s="41"/>
      <c r="P24" s="41"/>
      <c r="R24" s="41"/>
    </row>
    <row r="25">
      <c r="A25" s="22"/>
      <c r="C25" s="18">
        <f t="shared" si="2"/>
        <v>45406</v>
      </c>
      <c r="D25" s="24">
        <f t="shared" si="1"/>
        <v>45406</v>
      </c>
      <c r="E25" s="25"/>
      <c r="G25" s="21" t="s">
        <v>30</v>
      </c>
      <c r="N25" s="40"/>
      <c r="O25" s="41"/>
      <c r="P25" s="41"/>
      <c r="R25" s="41"/>
    </row>
    <row r="26">
      <c r="A26" s="22"/>
      <c r="C26" s="18">
        <f t="shared" si="2"/>
        <v>45407</v>
      </c>
      <c r="D26" s="24">
        <f t="shared" si="1"/>
        <v>45407</v>
      </c>
      <c r="E26" s="25"/>
      <c r="N26" s="40"/>
      <c r="O26" s="41"/>
      <c r="P26" s="41"/>
      <c r="R26" s="41"/>
    </row>
    <row r="27">
      <c r="A27" s="22"/>
      <c r="C27" s="18">
        <f t="shared" si="2"/>
        <v>45408</v>
      </c>
      <c r="D27" s="24">
        <f t="shared" si="1"/>
        <v>45408</v>
      </c>
      <c r="E27" s="25"/>
      <c r="N27" s="40"/>
      <c r="O27" s="41"/>
      <c r="P27" s="41"/>
      <c r="R27" s="41"/>
    </row>
    <row r="28">
      <c r="A28" s="22"/>
      <c r="C28" s="18">
        <f t="shared" si="2"/>
        <v>45409</v>
      </c>
      <c r="D28" s="24">
        <f t="shared" si="1"/>
        <v>45409</v>
      </c>
      <c r="E28" s="25"/>
      <c r="N28" s="40"/>
      <c r="O28" s="41"/>
      <c r="P28" s="41"/>
      <c r="R28" s="41"/>
    </row>
    <row r="29">
      <c r="A29" s="22"/>
      <c r="B29" s="39"/>
      <c r="C29" s="18">
        <f t="shared" si="2"/>
        <v>45410</v>
      </c>
      <c r="D29" s="24">
        <f t="shared" si="1"/>
        <v>45410</v>
      </c>
      <c r="E29" s="31"/>
      <c r="F29" s="31"/>
      <c r="G29" s="31"/>
      <c r="H29" s="31"/>
      <c r="I29" s="32"/>
      <c r="J29" s="31"/>
      <c r="N29" s="40"/>
      <c r="O29" s="41"/>
      <c r="P29" s="41"/>
      <c r="R29" s="41"/>
    </row>
    <row r="30">
      <c r="A30" s="22"/>
      <c r="B30" s="34">
        <f>B23+1</f>
        <v>18</v>
      </c>
      <c r="C30" s="35">
        <f t="shared" si="2"/>
        <v>45411</v>
      </c>
      <c r="D30" s="36">
        <f t="shared" si="1"/>
        <v>45411</v>
      </c>
      <c r="F30" s="20"/>
      <c r="G30" s="20"/>
      <c r="J30" s="20"/>
      <c r="N30" s="40"/>
      <c r="O30" s="41"/>
      <c r="P30" s="41"/>
      <c r="R30" s="41"/>
    </row>
    <row r="31">
      <c r="A31" s="22"/>
      <c r="C31" s="18">
        <f t="shared" si="2"/>
        <v>45412</v>
      </c>
      <c r="D31" s="24">
        <f t="shared" si="1"/>
        <v>45412</v>
      </c>
      <c r="F31" s="25"/>
      <c r="N31" s="40"/>
      <c r="O31" s="41"/>
      <c r="P31" s="41"/>
      <c r="R31" s="41"/>
    </row>
    <row r="32">
      <c r="A32" s="22"/>
      <c r="C32" s="18">
        <f t="shared" si="2"/>
        <v>45413</v>
      </c>
      <c r="D32" s="24">
        <f t="shared" si="1"/>
        <v>45413</v>
      </c>
      <c r="N32" s="40"/>
      <c r="O32" s="41"/>
      <c r="P32" s="41"/>
      <c r="R32" s="41"/>
    </row>
    <row r="33">
      <c r="A33" s="22"/>
      <c r="C33" s="18">
        <f t="shared" si="2"/>
        <v>45414</v>
      </c>
      <c r="D33" s="24">
        <f t="shared" si="1"/>
        <v>45414</v>
      </c>
      <c r="N33" s="40"/>
      <c r="O33" s="41"/>
      <c r="P33" s="41"/>
      <c r="R33" s="41"/>
    </row>
    <row r="34">
      <c r="A34" s="22"/>
      <c r="C34" s="18">
        <f t="shared" si="2"/>
        <v>45415</v>
      </c>
      <c r="D34" s="24">
        <f t="shared" si="1"/>
        <v>45415</v>
      </c>
      <c r="N34" s="40"/>
      <c r="O34" s="41"/>
      <c r="P34" s="41"/>
      <c r="R34" s="41"/>
    </row>
    <row r="35">
      <c r="A35" s="22"/>
      <c r="C35" s="18">
        <f t="shared" si="2"/>
        <v>45416</v>
      </c>
      <c r="D35" s="24">
        <f t="shared" si="1"/>
        <v>45416</v>
      </c>
      <c r="N35" s="40"/>
      <c r="O35" s="41"/>
      <c r="P35" s="41"/>
      <c r="R35" s="41"/>
    </row>
    <row r="36">
      <c r="A36" s="22"/>
      <c r="B36" s="39"/>
      <c r="C36" s="18">
        <f t="shared" si="2"/>
        <v>45417</v>
      </c>
      <c r="D36" s="24">
        <f t="shared" si="1"/>
        <v>45417</v>
      </c>
      <c r="E36" s="31"/>
      <c r="F36" s="31"/>
      <c r="N36" s="40"/>
      <c r="O36" s="41"/>
      <c r="P36" s="41"/>
      <c r="R36" s="41"/>
    </row>
    <row r="37">
      <c r="A37" s="22"/>
      <c r="B37" s="34">
        <f>B30+1</f>
        <v>19</v>
      </c>
      <c r="C37" s="35">
        <f t="shared" si="2"/>
        <v>45418</v>
      </c>
      <c r="D37" s="36">
        <f t="shared" si="1"/>
        <v>45418</v>
      </c>
      <c r="F37" s="20"/>
      <c r="G37" s="20"/>
      <c r="H37" s="20"/>
      <c r="I37" s="20"/>
      <c r="J37" s="20"/>
    </row>
    <row r="38">
      <c r="A38" s="22"/>
      <c r="C38" s="18">
        <f t="shared" si="2"/>
        <v>45419</v>
      </c>
      <c r="D38" s="24">
        <f t="shared" si="1"/>
        <v>45419</v>
      </c>
    </row>
    <row r="39">
      <c r="A39" s="22"/>
      <c r="C39" s="18">
        <f t="shared" si="2"/>
        <v>45420</v>
      </c>
      <c r="D39" s="24">
        <f t="shared" si="1"/>
        <v>45420</v>
      </c>
    </row>
    <row r="40">
      <c r="A40" s="22"/>
      <c r="C40" s="18">
        <f t="shared" si="2"/>
        <v>45421</v>
      </c>
      <c r="D40" s="24">
        <f t="shared" si="1"/>
        <v>45421</v>
      </c>
    </row>
    <row r="41">
      <c r="A41" s="22"/>
      <c r="C41" s="18">
        <f t="shared" si="2"/>
        <v>45422</v>
      </c>
      <c r="D41" s="24">
        <f t="shared" si="1"/>
        <v>45422</v>
      </c>
    </row>
    <row r="42">
      <c r="A42" s="22"/>
      <c r="C42" s="18">
        <f t="shared" si="2"/>
        <v>45423</v>
      </c>
      <c r="D42" s="24">
        <f t="shared" si="1"/>
        <v>45423</v>
      </c>
    </row>
    <row r="43">
      <c r="A43" s="22"/>
      <c r="B43" s="39"/>
      <c r="C43" s="42">
        <f t="shared" si="2"/>
        <v>45424</v>
      </c>
      <c r="D43" s="43">
        <f t="shared" si="1"/>
        <v>45424</v>
      </c>
      <c r="E43" s="31"/>
      <c r="F43" s="31"/>
      <c r="G43" s="31"/>
      <c r="H43" s="31"/>
      <c r="I43" s="31"/>
      <c r="J43" s="31"/>
    </row>
  </sheetData>
  <autoFilter ref="$C$1:$C$1003">
    <sortState ref="C1:C1003">
      <sortCondition descending="1" sortBy="cellColor" ref="C1:C1003" dxfId="1"/>
    </sortState>
  </autoFilter>
  <mergeCells count="7">
    <mergeCell ref="A2:A43"/>
    <mergeCell ref="B2:B8"/>
    <mergeCell ref="B9:B15"/>
    <mergeCell ref="B16:B22"/>
    <mergeCell ref="B23:B29"/>
    <mergeCell ref="B30:B36"/>
    <mergeCell ref="B37:B43"/>
  </mergeCells>
  <conditionalFormatting sqref="C2:C43">
    <cfRule type="timePeriod" dxfId="2" priority="3" timePeriod="today"/>
  </conditionalFormatting>
  <conditionalFormatting sqref="E2:E8 F9:F10 E11:E43">
    <cfRule type="expression" dxfId="3" priority="4">
      <formula>AND(MONTH($A$1)=MONTH(C2),OR(AND(MOD(WEEKNUM(C2,2),2),ISERROR(MATCH(WEEKDAY(C2,2),$Q$5:$Q$11,0))),AND(MOD(WEEKNUM(C2,2),2)=0,ISERROR(MATCH(WEEKDAY(C2,2),$R$5:$R$11,0)))))</formula>
    </cfRule>
  </conditionalFormatting>
  <conditionalFormatting sqref="E2 F3:F43">
    <cfRule type="expression" dxfId="3" priority="5">
      <formula>AND(MONTH($A$1)=MONTH(B2),OR(AND(MOD(WEEKNUM(B2,2),2),NOT(ISERROR(MATCH(WEEKDAY(B2,2),$Q$5:$Q$11,0)))),AND(MOD(WEEKNUM(B2,2),2)=0,NOT(ISERROR(MATCH(WEEKDAY(B2,2),$R$5:$R$11,0))))))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4" max="4" width="15.0"/>
    <col customWidth="1" min="5" max="5" width="16.25"/>
  </cols>
  <sheetData>
    <row r="1">
      <c r="B1" s="21" t="s">
        <v>31</v>
      </c>
    </row>
    <row r="3">
      <c r="B3" s="21" t="s">
        <v>32</v>
      </c>
      <c r="C3" s="21" t="s">
        <v>33</v>
      </c>
    </row>
    <row r="4">
      <c r="A4" s="46" t="s">
        <v>34</v>
      </c>
    </row>
    <row r="5">
      <c r="A5" s="21" t="s">
        <v>35</v>
      </c>
      <c r="B5" s="26"/>
    </row>
    <row r="6">
      <c r="A6" s="21" t="s">
        <v>36</v>
      </c>
      <c r="B6" s="21"/>
      <c r="C6" s="26"/>
    </row>
    <row r="7">
      <c r="A7" s="21" t="s">
        <v>37</v>
      </c>
      <c r="C7" s="47"/>
    </row>
    <row r="8">
      <c r="A8" s="21" t="s">
        <v>38</v>
      </c>
    </row>
    <row r="9">
      <c r="A9" s="21" t="s">
        <v>39</v>
      </c>
      <c r="B9" s="48"/>
      <c r="C9" s="48"/>
      <c r="D9" s="21" t="s">
        <v>40</v>
      </c>
    </row>
    <row r="10">
      <c r="A10" s="21" t="s">
        <v>41</v>
      </c>
      <c r="B10" s="26"/>
    </row>
    <row r="11">
      <c r="A11" s="21" t="s">
        <v>42</v>
      </c>
      <c r="B11" s="26"/>
    </row>
    <row r="12">
      <c r="A12" s="21"/>
    </row>
    <row r="13">
      <c r="A13" s="21"/>
    </row>
    <row r="16">
      <c r="A16" s="46" t="s">
        <v>43</v>
      </c>
    </row>
    <row r="17">
      <c r="A17" s="21" t="s">
        <v>35</v>
      </c>
      <c r="B17" s="26"/>
      <c r="C17" s="26"/>
    </row>
    <row r="18">
      <c r="A18" s="21" t="s">
        <v>44</v>
      </c>
      <c r="C18" s="26"/>
    </row>
    <row r="19">
      <c r="A19" s="21" t="s">
        <v>45</v>
      </c>
      <c r="C19" s="47"/>
    </row>
    <row r="20">
      <c r="A20" s="21" t="s">
        <v>38</v>
      </c>
      <c r="B20" s="26"/>
    </row>
    <row r="21">
      <c r="A21" s="21" t="s">
        <v>39</v>
      </c>
      <c r="C21" s="26"/>
    </row>
    <row r="22">
      <c r="A22" s="21" t="s">
        <v>46</v>
      </c>
      <c r="C22" s="26"/>
    </row>
    <row r="23">
      <c r="A23" s="21" t="s">
        <v>42</v>
      </c>
      <c r="C23" s="26"/>
    </row>
    <row r="27">
      <c r="A27" s="46" t="s">
        <v>47</v>
      </c>
    </row>
    <row r="28">
      <c r="A28" s="21" t="s">
        <v>35</v>
      </c>
      <c r="B28" s="26"/>
    </row>
    <row r="29">
      <c r="A29" s="21" t="s">
        <v>44</v>
      </c>
      <c r="C29" s="26"/>
    </row>
    <row r="30">
      <c r="A30" s="21" t="s">
        <v>45</v>
      </c>
      <c r="C30" s="47"/>
    </row>
    <row r="31">
      <c r="A31" s="21" t="s">
        <v>38</v>
      </c>
      <c r="B31" s="26"/>
    </row>
    <row r="32">
      <c r="A32" s="21" t="s">
        <v>39</v>
      </c>
      <c r="C32" s="26"/>
    </row>
    <row r="33">
      <c r="A33" s="21" t="s">
        <v>46</v>
      </c>
      <c r="C33" s="26"/>
    </row>
    <row r="34">
      <c r="A34" s="21" t="s">
        <v>42</v>
      </c>
      <c r="C34" s="26"/>
    </row>
    <row r="37">
      <c r="A37" s="49" t="s">
        <v>48</v>
      </c>
      <c r="D37" s="21" t="s">
        <v>49</v>
      </c>
    </row>
    <row r="38">
      <c r="A38" s="1" t="s">
        <v>35</v>
      </c>
      <c r="B38" s="26"/>
    </row>
    <row r="39">
      <c r="A39" s="1" t="s">
        <v>44</v>
      </c>
      <c r="B39" s="21" t="s">
        <v>50</v>
      </c>
      <c r="C39" s="26"/>
    </row>
    <row r="40">
      <c r="A40" s="1" t="s">
        <v>45</v>
      </c>
      <c r="C40" s="47" t="s">
        <v>51</v>
      </c>
    </row>
    <row r="41">
      <c r="A41" s="1" t="s">
        <v>38</v>
      </c>
      <c r="B41" s="26"/>
    </row>
    <row r="42">
      <c r="A42" s="1" t="s">
        <v>39</v>
      </c>
      <c r="C42" s="26"/>
    </row>
    <row r="43">
      <c r="A43" s="1" t="s">
        <v>46</v>
      </c>
      <c r="C43" s="26"/>
    </row>
    <row r="44">
      <c r="A44" s="1" t="s">
        <v>42</v>
      </c>
      <c r="C44" s="26"/>
    </row>
    <row r="46">
      <c r="B46" s="46" t="s">
        <v>14</v>
      </c>
      <c r="C46" s="46" t="s">
        <v>32</v>
      </c>
    </row>
    <row r="47">
      <c r="A47" s="49" t="s">
        <v>52</v>
      </c>
    </row>
    <row r="48">
      <c r="A48" s="50" t="s">
        <v>53</v>
      </c>
      <c r="B48" s="26"/>
      <c r="D48" s="51" t="s">
        <v>54</v>
      </c>
    </row>
    <row r="49">
      <c r="A49" s="1" t="s">
        <v>44</v>
      </c>
      <c r="B49" s="26"/>
    </row>
    <row r="50">
      <c r="A50" s="1" t="s">
        <v>45</v>
      </c>
      <c r="C50" s="2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5"/>
    <col customWidth="1" min="3" max="3" width="2.88"/>
    <col customWidth="1" min="4" max="4" width="8.0"/>
    <col customWidth="1" min="7" max="7" width="27.63"/>
    <col customWidth="1" min="8" max="8" width="37.13"/>
  </cols>
  <sheetData>
    <row r="1">
      <c r="B1" s="12" t="s">
        <v>13</v>
      </c>
      <c r="C1" s="52"/>
      <c r="D1" s="14"/>
      <c r="E1" s="15" t="s">
        <v>5</v>
      </c>
      <c r="F1" s="15" t="s">
        <v>14</v>
      </c>
      <c r="G1" s="12" t="s">
        <v>55</v>
      </c>
      <c r="H1" s="12"/>
    </row>
    <row r="2">
      <c r="A2" s="53" t="s">
        <v>56</v>
      </c>
      <c r="B2" s="54">
        <v>48.0</v>
      </c>
      <c r="C2" s="46">
        <v>1.0</v>
      </c>
      <c r="D2" s="21" t="s">
        <v>38</v>
      </c>
      <c r="E2" s="47" t="s">
        <v>26</v>
      </c>
    </row>
    <row r="3">
      <c r="A3" s="22"/>
      <c r="C3" s="55">
        <v>2.0</v>
      </c>
      <c r="D3" s="56" t="s">
        <v>39</v>
      </c>
      <c r="F3" s="47" t="s">
        <v>26</v>
      </c>
      <c r="G3" s="51"/>
    </row>
    <row r="4">
      <c r="A4" s="22"/>
      <c r="C4" s="46">
        <v>3.0</v>
      </c>
      <c r="D4" s="21" t="s">
        <v>41</v>
      </c>
      <c r="F4" s="26"/>
    </row>
    <row r="5">
      <c r="A5" s="22"/>
      <c r="B5" s="39"/>
      <c r="C5" s="57">
        <v>4.0</v>
      </c>
      <c r="D5" s="32" t="s">
        <v>42</v>
      </c>
      <c r="E5" s="31"/>
      <c r="F5" s="58"/>
      <c r="G5" s="31"/>
      <c r="H5" s="31"/>
    </row>
    <row r="6">
      <c r="A6" s="22"/>
      <c r="B6" s="59">
        <v>49.0</v>
      </c>
      <c r="C6" s="46">
        <v>5.0</v>
      </c>
      <c r="D6" s="21" t="s">
        <v>35</v>
      </c>
      <c r="E6" s="26"/>
    </row>
    <row r="7">
      <c r="A7" s="22"/>
      <c r="C7" s="46">
        <v>6.0</v>
      </c>
      <c r="D7" s="21" t="s">
        <v>36</v>
      </c>
      <c r="E7" s="26"/>
    </row>
    <row r="8">
      <c r="A8" s="22"/>
      <c r="C8" s="46">
        <v>7.0</v>
      </c>
      <c r="D8" s="21" t="s">
        <v>37</v>
      </c>
      <c r="F8" s="26"/>
    </row>
    <row r="9">
      <c r="A9" s="22"/>
      <c r="C9" s="46">
        <v>8.0</v>
      </c>
      <c r="D9" s="21" t="s">
        <v>38</v>
      </c>
      <c r="F9" s="26"/>
    </row>
    <row r="10">
      <c r="A10" s="22"/>
      <c r="C10" s="46">
        <v>9.0</v>
      </c>
      <c r="D10" s="21" t="s">
        <v>39</v>
      </c>
      <c r="E10" s="26"/>
    </row>
    <row r="11">
      <c r="A11" s="22"/>
      <c r="C11" s="46">
        <v>10.0</v>
      </c>
      <c r="D11" s="21" t="s">
        <v>41</v>
      </c>
      <c r="E11" s="26"/>
    </row>
    <row r="12">
      <c r="A12" s="22"/>
      <c r="B12" s="39"/>
      <c r="C12" s="57">
        <v>11.0</v>
      </c>
      <c r="D12" s="32" t="s">
        <v>42</v>
      </c>
      <c r="E12" s="58"/>
      <c r="F12" s="31"/>
      <c r="G12" s="31"/>
      <c r="H12" s="31"/>
    </row>
    <row r="13">
      <c r="A13" s="22"/>
      <c r="B13" s="59">
        <v>50.0</v>
      </c>
      <c r="C13" s="46">
        <v>12.0</v>
      </c>
      <c r="D13" s="21" t="s">
        <v>35</v>
      </c>
      <c r="F13" s="47"/>
      <c r="G13" s="21" t="s">
        <v>57</v>
      </c>
    </row>
    <row r="14">
      <c r="A14" s="22"/>
      <c r="C14" s="46">
        <v>13.0</v>
      </c>
      <c r="D14" s="21" t="s">
        <v>36</v>
      </c>
      <c r="F14" s="26"/>
    </row>
    <row r="15">
      <c r="A15" s="22"/>
      <c r="C15" s="46">
        <v>14.0</v>
      </c>
      <c r="D15" s="21" t="s">
        <v>37</v>
      </c>
      <c r="E15" s="26"/>
      <c r="H15" s="21" t="s">
        <v>58</v>
      </c>
    </row>
    <row r="16">
      <c r="A16" s="22"/>
      <c r="C16" s="46">
        <v>15.0</v>
      </c>
      <c r="D16" s="21" t="s">
        <v>38</v>
      </c>
      <c r="E16" s="26"/>
    </row>
    <row r="17">
      <c r="A17" s="22"/>
      <c r="C17" s="46">
        <v>16.0</v>
      </c>
      <c r="D17" s="21" t="s">
        <v>39</v>
      </c>
      <c r="F17" s="26"/>
    </row>
    <row r="18">
      <c r="A18" s="22"/>
      <c r="C18" s="46">
        <v>17.0</v>
      </c>
      <c r="D18" s="21" t="s">
        <v>41</v>
      </c>
      <c r="F18" s="26"/>
    </row>
    <row r="19">
      <c r="A19" s="22"/>
      <c r="B19" s="39"/>
      <c r="C19" s="57">
        <v>18.0</v>
      </c>
      <c r="D19" s="32" t="s">
        <v>42</v>
      </c>
      <c r="E19" s="31"/>
      <c r="F19" s="58"/>
      <c r="G19" s="31"/>
      <c r="H19" s="31"/>
    </row>
    <row r="20">
      <c r="A20" s="22"/>
      <c r="B20" s="59">
        <v>51.0</v>
      </c>
      <c r="C20" s="46">
        <v>19.0</v>
      </c>
      <c r="D20" s="21" t="s">
        <v>35</v>
      </c>
      <c r="E20" s="47" t="s">
        <v>59</v>
      </c>
    </row>
    <row r="21">
      <c r="A21" s="22"/>
      <c r="C21" s="46">
        <v>20.0</v>
      </c>
      <c r="D21" s="21" t="s">
        <v>36</v>
      </c>
      <c r="E21" s="47" t="s">
        <v>59</v>
      </c>
    </row>
    <row r="22">
      <c r="A22" s="22"/>
      <c r="C22" s="46">
        <v>21.0</v>
      </c>
      <c r="D22" s="21" t="s">
        <v>37</v>
      </c>
      <c r="F22" s="47" t="s">
        <v>60</v>
      </c>
      <c r="H22" s="21" t="s">
        <v>61</v>
      </c>
    </row>
    <row r="23">
      <c r="A23" s="22"/>
      <c r="C23" s="46">
        <v>22.0</v>
      </c>
      <c r="D23" s="21" t="s">
        <v>38</v>
      </c>
      <c r="F23" s="47" t="s">
        <v>60</v>
      </c>
      <c r="H23" s="21" t="s">
        <v>62</v>
      </c>
    </row>
    <row r="24">
      <c r="A24" s="22"/>
      <c r="C24" s="46">
        <v>23.0</v>
      </c>
      <c r="D24" s="21" t="s">
        <v>39</v>
      </c>
      <c r="E24" s="47" t="s">
        <v>63</v>
      </c>
    </row>
    <row r="25">
      <c r="A25" s="22"/>
      <c r="C25" s="51">
        <v>24.0</v>
      </c>
      <c r="D25" s="60" t="s">
        <v>41</v>
      </c>
      <c r="E25" s="26"/>
    </row>
    <row r="26">
      <c r="A26" s="22"/>
      <c r="B26" s="39"/>
      <c r="C26" s="61">
        <v>25.0</v>
      </c>
      <c r="D26" s="62" t="s">
        <v>42</v>
      </c>
      <c r="E26" s="58"/>
      <c r="F26" s="31"/>
      <c r="G26" s="32"/>
      <c r="H26" s="31"/>
    </row>
    <row r="27">
      <c r="A27" s="22"/>
      <c r="B27" s="59">
        <v>52.0</v>
      </c>
      <c r="C27" s="51">
        <v>26.0</v>
      </c>
      <c r="D27" s="60" t="s">
        <v>64</v>
      </c>
      <c r="F27" s="26"/>
    </row>
    <row r="28">
      <c r="A28" s="22"/>
      <c r="C28" s="46">
        <v>27.0</v>
      </c>
      <c r="D28" s="21" t="s">
        <v>65</v>
      </c>
      <c r="E28" s="21" t="s">
        <v>63</v>
      </c>
      <c r="F28" s="47" t="s">
        <v>59</v>
      </c>
    </row>
    <row r="29">
      <c r="A29" s="22"/>
      <c r="C29" s="46">
        <v>28.0</v>
      </c>
      <c r="D29" s="21" t="s">
        <v>66</v>
      </c>
      <c r="E29" s="47" t="s">
        <v>59</v>
      </c>
      <c r="G29" s="21" t="s">
        <v>67</v>
      </c>
    </row>
    <row r="30">
      <c r="A30" s="22"/>
      <c r="C30" s="46">
        <v>29.0</v>
      </c>
      <c r="D30" s="21" t="s">
        <v>68</v>
      </c>
      <c r="E30" s="47" t="s">
        <v>59</v>
      </c>
    </row>
    <row r="31">
      <c r="A31" s="22"/>
      <c r="C31" s="46">
        <v>30.0</v>
      </c>
      <c r="D31" s="21" t="s">
        <v>69</v>
      </c>
      <c r="E31" s="21" t="s">
        <v>63</v>
      </c>
      <c r="F31" s="47" t="s">
        <v>59</v>
      </c>
    </row>
    <row r="32">
      <c r="A32" s="22"/>
      <c r="C32" s="51">
        <v>31.0</v>
      </c>
      <c r="D32" s="60" t="s">
        <v>70</v>
      </c>
      <c r="F32" s="26"/>
    </row>
    <row r="33">
      <c r="C33" s="63"/>
    </row>
    <row r="34">
      <c r="C34" s="63"/>
    </row>
    <row r="35">
      <c r="C35" s="63"/>
    </row>
    <row r="36">
      <c r="C36" s="63"/>
    </row>
    <row r="37">
      <c r="C37" s="63"/>
    </row>
    <row r="38">
      <c r="C38" s="63"/>
    </row>
    <row r="39">
      <c r="C39" s="63"/>
    </row>
    <row r="40">
      <c r="C40" s="63"/>
    </row>
    <row r="41">
      <c r="C41" s="63"/>
    </row>
    <row r="42">
      <c r="C42" s="63"/>
    </row>
    <row r="43">
      <c r="C43" s="63"/>
    </row>
    <row r="44">
      <c r="C44" s="63"/>
    </row>
    <row r="45">
      <c r="C45" s="63"/>
    </row>
    <row r="46">
      <c r="C46" s="63"/>
    </row>
    <row r="47">
      <c r="C47" s="63"/>
    </row>
    <row r="48">
      <c r="C48" s="63"/>
    </row>
    <row r="49">
      <c r="C49" s="63"/>
    </row>
    <row r="50">
      <c r="C50" s="63"/>
    </row>
    <row r="51">
      <c r="C51" s="63"/>
    </row>
    <row r="52">
      <c r="C52" s="63"/>
    </row>
    <row r="53">
      <c r="C53" s="63"/>
    </row>
    <row r="54">
      <c r="C54" s="63"/>
    </row>
    <row r="55">
      <c r="C55" s="63"/>
    </row>
    <row r="56">
      <c r="C56" s="63"/>
    </row>
    <row r="57">
      <c r="C57" s="63"/>
    </row>
    <row r="58">
      <c r="C58" s="63"/>
    </row>
    <row r="59">
      <c r="C59" s="63"/>
    </row>
    <row r="60">
      <c r="C60" s="63"/>
    </row>
    <row r="61">
      <c r="C61" s="63"/>
    </row>
    <row r="62">
      <c r="C62" s="63"/>
    </row>
    <row r="63">
      <c r="C63" s="63"/>
    </row>
    <row r="64">
      <c r="C64" s="63"/>
    </row>
    <row r="65">
      <c r="C65" s="63"/>
    </row>
    <row r="66">
      <c r="C66" s="63"/>
    </row>
    <row r="67">
      <c r="C67" s="63"/>
    </row>
    <row r="68">
      <c r="C68" s="63"/>
    </row>
    <row r="69">
      <c r="C69" s="63"/>
    </row>
    <row r="70">
      <c r="C70" s="63"/>
    </row>
    <row r="71">
      <c r="C71" s="63"/>
    </row>
    <row r="72">
      <c r="C72" s="63"/>
    </row>
    <row r="73">
      <c r="C73" s="63"/>
    </row>
    <row r="74">
      <c r="C74" s="63"/>
    </row>
    <row r="75">
      <c r="C75" s="63"/>
    </row>
    <row r="76">
      <c r="C76" s="63"/>
    </row>
    <row r="77">
      <c r="C77" s="63"/>
    </row>
    <row r="78">
      <c r="C78" s="63"/>
    </row>
    <row r="79">
      <c r="C79" s="63"/>
    </row>
    <row r="80">
      <c r="C80" s="63"/>
    </row>
    <row r="81">
      <c r="C81" s="63"/>
    </row>
    <row r="82">
      <c r="C82" s="63"/>
    </row>
    <row r="83">
      <c r="C83" s="63"/>
    </row>
    <row r="84">
      <c r="C84" s="63"/>
    </row>
    <row r="85">
      <c r="C85" s="63"/>
    </row>
    <row r="86">
      <c r="C86" s="63"/>
    </row>
    <row r="87">
      <c r="C87" s="63"/>
    </row>
    <row r="88">
      <c r="C88" s="63"/>
    </row>
    <row r="89">
      <c r="C89" s="63"/>
    </row>
    <row r="90">
      <c r="C90" s="63"/>
    </row>
    <row r="91">
      <c r="C91" s="63"/>
    </row>
    <row r="92">
      <c r="C92" s="63"/>
    </row>
    <row r="93">
      <c r="C93" s="63"/>
    </row>
    <row r="94">
      <c r="C94" s="63"/>
    </row>
    <row r="95">
      <c r="C95" s="63"/>
    </row>
    <row r="96">
      <c r="C96" s="63"/>
    </row>
    <row r="97">
      <c r="C97" s="63"/>
    </row>
    <row r="98">
      <c r="C98" s="63"/>
    </row>
    <row r="99">
      <c r="C99" s="63"/>
    </row>
    <row r="100">
      <c r="C100" s="63"/>
    </row>
    <row r="101">
      <c r="C101" s="63"/>
    </row>
    <row r="102">
      <c r="C102" s="63"/>
    </row>
    <row r="103">
      <c r="C103" s="63"/>
    </row>
    <row r="104">
      <c r="C104" s="63"/>
    </row>
    <row r="105">
      <c r="C105" s="63"/>
    </row>
    <row r="106">
      <c r="C106" s="63"/>
    </row>
    <row r="107">
      <c r="C107" s="63"/>
    </row>
    <row r="108">
      <c r="C108" s="63"/>
    </row>
    <row r="109">
      <c r="C109" s="63"/>
    </row>
    <row r="110">
      <c r="C110" s="63"/>
    </row>
    <row r="111">
      <c r="C111" s="63"/>
    </row>
    <row r="112">
      <c r="C112" s="63"/>
    </row>
    <row r="113">
      <c r="C113" s="63"/>
    </row>
    <row r="114">
      <c r="C114" s="63"/>
    </row>
    <row r="115">
      <c r="C115" s="63"/>
    </row>
    <row r="116">
      <c r="C116" s="63"/>
    </row>
    <row r="117">
      <c r="C117" s="63"/>
    </row>
    <row r="118">
      <c r="C118" s="63"/>
    </row>
    <row r="119">
      <c r="C119" s="63"/>
    </row>
    <row r="120">
      <c r="C120" s="63"/>
    </row>
    <row r="121">
      <c r="C121" s="63"/>
    </row>
    <row r="122">
      <c r="C122" s="63"/>
    </row>
    <row r="123">
      <c r="C123" s="63"/>
    </row>
    <row r="124">
      <c r="C124" s="63"/>
    </row>
    <row r="125">
      <c r="C125" s="63"/>
    </row>
    <row r="126">
      <c r="C126" s="63"/>
    </row>
    <row r="127">
      <c r="C127" s="63"/>
    </row>
    <row r="128">
      <c r="C128" s="63"/>
    </row>
    <row r="129">
      <c r="C129" s="63"/>
    </row>
    <row r="130">
      <c r="C130" s="63"/>
    </row>
    <row r="131">
      <c r="C131" s="63"/>
    </row>
    <row r="132">
      <c r="C132" s="63"/>
    </row>
    <row r="133">
      <c r="C133" s="63"/>
    </row>
    <row r="134">
      <c r="C134" s="63"/>
    </row>
    <row r="135">
      <c r="C135" s="63"/>
    </row>
    <row r="136">
      <c r="C136" s="63"/>
    </row>
    <row r="137">
      <c r="C137" s="63"/>
    </row>
    <row r="138">
      <c r="C138" s="63"/>
    </row>
    <row r="139">
      <c r="C139" s="63"/>
    </row>
    <row r="140">
      <c r="C140" s="63"/>
    </row>
    <row r="141">
      <c r="C141" s="63"/>
    </row>
    <row r="142">
      <c r="C142" s="63"/>
    </row>
    <row r="143">
      <c r="C143" s="63"/>
    </row>
    <row r="144">
      <c r="C144" s="63"/>
    </row>
    <row r="145">
      <c r="C145" s="63"/>
    </row>
    <row r="146">
      <c r="C146" s="63"/>
    </row>
    <row r="147">
      <c r="C147" s="63"/>
    </row>
    <row r="148">
      <c r="C148" s="63"/>
    </row>
    <row r="149">
      <c r="C149" s="63"/>
    </row>
    <row r="150">
      <c r="C150" s="63"/>
    </row>
    <row r="151">
      <c r="C151" s="63"/>
    </row>
    <row r="152">
      <c r="C152" s="63"/>
    </row>
    <row r="153">
      <c r="C153" s="63"/>
    </row>
    <row r="154">
      <c r="C154" s="63"/>
    </row>
    <row r="155">
      <c r="C155" s="63"/>
    </row>
    <row r="156">
      <c r="C156" s="63"/>
    </row>
    <row r="157">
      <c r="C157" s="63"/>
    </row>
    <row r="158">
      <c r="C158" s="63"/>
    </row>
    <row r="159">
      <c r="C159" s="63"/>
    </row>
    <row r="160">
      <c r="C160" s="63"/>
    </row>
    <row r="161">
      <c r="C161" s="63"/>
    </row>
    <row r="162">
      <c r="C162" s="63"/>
    </row>
    <row r="163">
      <c r="C163" s="63"/>
    </row>
    <row r="164">
      <c r="C164" s="63"/>
    </row>
    <row r="165">
      <c r="C165" s="63"/>
    </row>
    <row r="166">
      <c r="C166" s="63"/>
    </row>
    <row r="167">
      <c r="C167" s="63"/>
    </row>
    <row r="168">
      <c r="C168" s="63"/>
    </row>
    <row r="169">
      <c r="C169" s="63"/>
    </row>
    <row r="170">
      <c r="C170" s="63"/>
    </row>
    <row r="171">
      <c r="C171" s="63"/>
    </row>
    <row r="172">
      <c r="C172" s="63"/>
    </row>
    <row r="173">
      <c r="C173" s="63"/>
    </row>
    <row r="174">
      <c r="C174" s="63"/>
    </row>
    <row r="175">
      <c r="C175" s="63"/>
    </row>
    <row r="176">
      <c r="C176" s="63"/>
    </row>
    <row r="177">
      <c r="C177" s="63"/>
    </row>
    <row r="178">
      <c r="C178" s="63"/>
    </row>
    <row r="179">
      <c r="C179" s="63"/>
    </row>
    <row r="180">
      <c r="C180" s="63"/>
    </row>
    <row r="181">
      <c r="C181" s="63"/>
    </row>
    <row r="182">
      <c r="C182" s="63"/>
    </row>
    <row r="183">
      <c r="C183" s="63"/>
    </row>
    <row r="184">
      <c r="C184" s="63"/>
    </row>
    <row r="185">
      <c r="C185" s="63"/>
    </row>
    <row r="186">
      <c r="C186" s="63"/>
    </row>
    <row r="187">
      <c r="C187" s="63"/>
    </row>
    <row r="188">
      <c r="C188" s="63"/>
    </row>
    <row r="189">
      <c r="C189" s="63"/>
    </row>
    <row r="190">
      <c r="C190" s="63"/>
    </row>
    <row r="191">
      <c r="C191" s="63"/>
    </row>
    <row r="192">
      <c r="C192" s="63"/>
    </row>
    <row r="193">
      <c r="C193" s="63"/>
    </row>
    <row r="194">
      <c r="C194" s="63"/>
    </row>
    <row r="195">
      <c r="C195" s="63"/>
    </row>
    <row r="196">
      <c r="C196" s="63"/>
    </row>
    <row r="197">
      <c r="C197" s="63"/>
    </row>
    <row r="198">
      <c r="C198" s="63"/>
    </row>
    <row r="199">
      <c r="C199" s="63"/>
    </row>
    <row r="200">
      <c r="C200" s="63"/>
    </row>
    <row r="201">
      <c r="C201" s="63"/>
    </row>
    <row r="202">
      <c r="C202" s="63"/>
    </row>
    <row r="203">
      <c r="C203" s="63"/>
    </row>
    <row r="204">
      <c r="C204" s="63"/>
    </row>
    <row r="205">
      <c r="C205" s="63"/>
    </row>
    <row r="206">
      <c r="C206" s="63"/>
    </row>
    <row r="207">
      <c r="C207" s="63"/>
    </row>
    <row r="208">
      <c r="C208" s="63"/>
    </row>
    <row r="209">
      <c r="C209" s="63"/>
    </row>
    <row r="210">
      <c r="C210" s="63"/>
    </row>
    <row r="211">
      <c r="C211" s="63"/>
    </row>
    <row r="212">
      <c r="C212" s="63"/>
    </row>
    <row r="213">
      <c r="C213" s="63"/>
    </row>
    <row r="214">
      <c r="C214" s="63"/>
    </row>
    <row r="215">
      <c r="C215" s="63"/>
    </row>
    <row r="216">
      <c r="C216" s="63"/>
    </row>
    <row r="217">
      <c r="C217" s="63"/>
    </row>
    <row r="218">
      <c r="C218" s="63"/>
    </row>
    <row r="219">
      <c r="C219" s="63"/>
    </row>
    <row r="220">
      <c r="C220" s="63"/>
    </row>
    <row r="221">
      <c r="C221" s="63"/>
    </row>
    <row r="222">
      <c r="C222" s="63"/>
    </row>
    <row r="223">
      <c r="C223" s="63"/>
    </row>
    <row r="224">
      <c r="C224" s="63"/>
    </row>
    <row r="225">
      <c r="C225" s="63"/>
    </row>
    <row r="226">
      <c r="C226" s="63"/>
    </row>
    <row r="227">
      <c r="C227" s="63"/>
    </row>
    <row r="228">
      <c r="C228" s="63"/>
    </row>
    <row r="229">
      <c r="C229" s="63"/>
    </row>
    <row r="230">
      <c r="C230" s="63"/>
    </row>
    <row r="231">
      <c r="C231" s="63"/>
    </row>
    <row r="232">
      <c r="C232" s="63"/>
    </row>
    <row r="233">
      <c r="C233" s="63"/>
    </row>
    <row r="234">
      <c r="C234" s="63"/>
    </row>
    <row r="235">
      <c r="C235" s="63"/>
    </row>
    <row r="236">
      <c r="C236" s="63"/>
    </row>
    <row r="237">
      <c r="C237" s="63"/>
    </row>
    <row r="238">
      <c r="C238" s="63"/>
    </row>
    <row r="239">
      <c r="C239" s="63"/>
    </row>
    <row r="240">
      <c r="C240" s="63"/>
    </row>
    <row r="241">
      <c r="C241" s="63"/>
    </row>
    <row r="242">
      <c r="C242" s="63"/>
    </row>
    <row r="243">
      <c r="C243" s="63"/>
    </row>
    <row r="244">
      <c r="C244" s="63"/>
    </row>
    <row r="245">
      <c r="C245" s="63"/>
    </row>
    <row r="246">
      <c r="C246" s="63"/>
    </row>
    <row r="247">
      <c r="C247" s="63"/>
    </row>
    <row r="248">
      <c r="C248" s="63"/>
    </row>
    <row r="249">
      <c r="C249" s="63"/>
    </row>
    <row r="250">
      <c r="C250" s="63"/>
    </row>
    <row r="251">
      <c r="C251" s="63"/>
    </row>
    <row r="252">
      <c r="C252" s="63"/>
    </row>
    <row r="253">
      <c r="C253" s="63"/>
    </row>
    <row r="254">
      <c r="C254" s="63"/>
    </row>
    <row r="255">
      <c r="C255" s="63"/>
    </row>
    <row r="256">
      <c r="C256" s="63"/>
    </row>
    <row r="257">
      <c r="C257" s="63"/>
    </row>
    <row r="258">
      <c r="C258" s="63"/>
    </row>
    <row r="259">
      <c r="C259" s="63"/>
    </row>
    <row r="260">
      <c r="C260" s="63"/>
    </row>
    <row r="261">
      <c r="C261" s="63"/>
    </row>
    <row r="262">
      <c r="C262" s="63"/>
    </row>
    <row r="263">
      <c r="C263" s="63"/>
    </row>
    <row r="264">
      <c r="C264" s="63"/>
    </row>
    <row r="265">
      <c r="C265" s="63"/>
    </row>
    <row r="266">
      <c r="C266" s="63"/>
    </row>
    <row r="267">
      <c r="C267" s="63"/>
    </row>
    <row r="268">
      <c r="C268" s="63"/>
    </row>
    <row r="269">
      <c r="C269" s="63"/>
    </row>
    <row r="270">
      <c r="C270" s="63"/>
    </row>
    <row r="271">
      <c r="C271" s="63"/>
    </row>
    <row r="272">
      <c r="C272" s="63"/>
    </row>
    <row r="273">
      <c r="C273" s="63"/>
    </row>
    <row r="274">
      <c r="C274" s="63"/>
    </row>
    <row r="275">
      <c r="C275" s="63"/>
    </row>
    <row r="276">
      <c r="C276" s="63"/>
    </row>
    <row r="277">
      <c r="C277" s="63"/>
    </row>
    <row r="278">
      <c r="C278" s="63"/>
    </row>
    <row r="279">
      <c r="C279" s="63"/>
    </row>
    <row r="280">
      <c r="C280" s="63"/>
    </row>
    <row r="281">
      <c r="C281" s="63"/>
    </row>
    <row r="282">
      <c r="C282" s="63"/>
    </row>
    <row r="283">
      <c r="C283" s="63"/>
    </row>
    <row r="284">
      <c r="C284" s="63"/>
    </row>
    <row r="285">
      <c r="C285" s="63"/>
    </row>
    <row r="286">
      <c r="C286" s="63"/>
    </row>
    <row r="287">
      <c r="C287" s="63"/>
    </row>
    <row r="288">
      <c r="C288" s="63"/>
    </row>
    <row r="289">
      <c r="C289" s="63"/>
    </row>
    <row r="290">
      <c r="C290" s="63"/>
    </row>
    <row r="291">
      <c r="C291" s="63"/>
    </row>
    <row r="292">
      <c r="C292" s="63"/>
    </row>
    <row r="293">
      <c r="C293" s="63"/>
    </row>
    <row r="294">
      <c r="C294" s="63"/>
    </row>
    <row r="295">
      <c r="C295" s="63"/>
    </row>
    <row r="296">
      <c r="C296" s="63"/>
    </row>
    <row r="297">
      <c r="C297" s="63"/>
    </row>
    <row r="298">
      <c r="C298" s="63"/>
    </row>
    <row r="299">
      <c r="C299" s="63"/>
    </row>
    <row r="300">
      <c r="C300" s="63"/>
    </row>
    <row r="301">
      <c r="C301" s="63"/>
    </row>
    <row r="302">
      <c r="C302" s="63"/>
    </row>
    <row r="303">
      <c r="C303" s="63"/>
    </row>
    <row r="304">
      <c r="C304" s="63"/>
    </row>
    <row r="305">
      <c r="C305" s="63"/>
    </row>
    <row r="306">
      <c r="C306" s="63"/>
    </row>
    <row r="307">
      <c r="C307" s="63"/>
    </row>
    <row r="308">
      <c r="C308" s="63"/>
    </row>
    <row r="309">
      <c r="C309" s="63"/>
    </row>
    <row r="310">
      <c r="C310" s="63"/>
    </row>
    <row r="311">
      <c r="C311" s="63"/>
    </row>
    <row r="312">
      <c r="C312" s="63"/>
    </row>
    <row r="313">
      <c r="C313" s="63"/>
    </row>
    <row r="314">
      <c r="C314" s="63"/>
    </row>
    <row r="315">
      <c r="C315" s="63"/>
    </row>
    <row r="316">
      <c r="C316" s="63"/>
    </row>
    <row r="317">
      <c r="C317" s="63"/>
    </row>
    <row r="318">
      <c r="C318" s="63"/>
    </row>
    <row r="319">
      <c r="C319" s="63"/>
    </row>
    <row r="320">
      <c r="C320" s="63"/>
    </row>
    <row r="321">
      <c r="C321" s="63"/>
    </row>
    <row r="322">
      <c r="C322" s="63"/>
    </row>
    <row r="323">
      <c r="C323" s="63"/>
    </row>
    <row r="324">
      <c r="C324" s="63"/>
    </row>
    <row r="325">
      <c r="C325" s="63"/>
    </row>
    <row r="326">
      <c r="C326" s="63"/>
    </row>
    <row r="327">
      <c r="C327" s="63"/>
    </row>
    <row r="328">
      <c r="C328" s="63"/>
    </row>
    <row r="329">
      <c r="C329" s="63"/>
    </row>
    <row r="330">
      <c r="C330" s="63"/>
    </row>
    <row r="331">
      <c r="C331" s="63"/>
    </row>
    <row r="332">
      <c r="C332" s="63"/>
    </row>
    <row r="333">
      <c r="C333" s="63"/>
    </row>
    <row r="334">
      <c r="C334" s="63"/>
    </row>
    <row r="335">
      <c r="C335" s="63"/>
    </row>
    <row r="336">
      <c r="C336" s="63"/>
    </row>
    <row r="337">
      <c r="C337" s="63"/>
    </row>
    <row r="338">
      <c r="C338" s="63"/>
    </row>
    <row r="339">
      <c r="C339" s="63"/>
    </row>
    <row r="340">
      <c r="C340" s="63"/>
    </row>
    <row r="341">
      <c r="C341" s="63"/>
    </row>
    <row r="342">
      <c r="C342" s="63"/>
    </row>
    <row r="343">
      <c r="C343" s="63"/>
    </row>
    <row r="344">
      <c r="C344" s="63"/>
    </row>
    <row r="345">
      <c r="C345" s="63"/>
    </row>
    <row r="346">
      <c r="C346" s="63"/>
    </row>
    <row r="347">
      <c r="C347" s="63"/>
    </row>
    <row r="348">
      <c r="C348" s="63"/>
    </row>
    <row r="349">
      <c r="C349" s="63"/>
    </row>
    <row r="350">
      <c r="C350" s="63"/>
    </row>
    <row r="351">
      <c r="C351" s="63"/>
    </row>
    <row r="352">
      <c r="C352" s="63"/>
    </row>
    <row r="353">
      <c r="C353" s="63"/>
    </row>
    <row r="354">
      <c r="C354" s="63"/>
    </row>
    <row r="355">
      <c r="C355" s="63"/>
    </row>
    <row r="356">
      <c r="C356" s="63"/>
    </row>
    <row r="357">
      <c r="C357" s="63"/>
    </row>
    <row r="358">
      <c r="C358" s="63"/>
    </row>
    <row r="359">
      <c r="C359" s="63"/>
    </row>
    <row r="360">
      <c r="C360" s="63"/>
    </row>
    <row r="361">
      <c r="C361" s="63"/>
    </row>
    <row r="362">
      <c r="C362" s="63"/>
    </row>
    <row r="363">
      <c r="C363" s="63"/>
    </row>
    <row r="364">
      <c r="C364" s="63"/>
    </row>
    <row r="365">
      <c r="C365" s="63"/>
    </row>
    <row r="366">
      <c r="C366" s="63"/>
    </row>
    <row r="367">
      <c r="C367" s="63"/>
    </row>
    <row r="368">
      <c r="C368" s="63"/>
    </row>
    <row r="369">
      <c r="C369" s="63"/>
    </row>
    <row r="370">
      <c r="C370" s="63"/>
    </row>
    <row r="371">
      <c r="C371" s="63"/>
    </row>
    <row r="372">
      <c r="C372" s="63"/>
    </row>
    <row r="373">
      <c r="C373" s="63"/>
    </row>
    <row r="374">
      <c r="C374" s="63"/>
    </row>
    <row r="375">
      <c r="C375" s="63"/>
    </row>
    <row r="376">
      <c r="C376" s="63"/>
    </row>
    <row r="377">
      <c r="C377" s="63"/>
    </row>
    <row r="378">
      <c r="C378" s="63"/>
    </row>
    <row r="379">
      <c r="C379" s="63"/>
    </row>
    <row r="380">
      <c r="C380" s="63"/>
    </row>
    <row r="381">
      <c r="C381" s="63"/>
    </row>
    <row r="382">
      <c r="C382" s="63"/>
    </row>
    <row r="383">
      <c r="C383" s="63"/>
    </row>
    <row r="384">
      <c r="C384" s="63"/>
    </row>
    <row r="385">
      <c r="C385" s="63"/>
    </row>
    <row r="386">
      <c r="C386" s="63"/>
    </row>
    <row r="387">
      <c r="C387" s="63"/>
    </row>
    <row r="388">
      <c r="C388" s="63"/>
    </row>
    <row r="389">
      <c r="C389" s="63"/>
    </row>
    <row r="390">
      <c r="C390" s="63"/>
    </row>
    <row r="391">
      <c r="C391" s="63"/>
    </row>
    <row r="392">
      <c r="C392" s="63"/>
    </row>
    <row r="393">
      <c r="C393" s="63"/>
    </row>
    <row r="394">
      <c r="C394" s="63"/>
    </row>
    <row r="395">
      <c r="C395" s="63"/>
    </row>
    <row r="396">
      <c r="C396" s="63"/>
    </row>
    <row r="397">
      <c r="C397" s="63"/>
    </row>
    <row r="398">
      <c r="C398" s="63"/>
    </row>
    <row r="399">
      <c r="C399" s="63"/>
    </row>
    <row r="400">
      <c r="C400" s="63"/>
    </row>
    <row r="401">
      <c r="C401" s="63"/>
    </row>
    <row r="402">
      <c r="C402" s="63"/>
    </row>
    <row r="403">
      <c r="C403" s="63"/>
    </row>
    <row r="404">
      <c r="C404" s="63"/>
    </row>
    <row r="405">
      <c r="C405" s="63"/>
    </row>
    <row r="406">
      <c r="C406" s="63"/>
    </row>
    <row r="407">
      <c r="C407" s="63"/>
    </row>
    <row r="408">
      <c r="C408" s="63"/>
    </row>
    <row r="409">
      <c r="C409" s="63"/>
    </row>
    <row r="410">
      <c r="C410" s="63"/>
    </row>
    <row r="411">
      <c r="C411" s="63"/>
    </row>
    <row r="412">
      <c r="C412" s="63"/>
    </row>
    <row r="413">
      <c r="C413" s="63"/>
    </row>
    <row r="414">
      <c r="C414" s="63"/>
    </row>
    <row r="415">
      <c r="C415" s="63"/>
    </row>
    <row r="416">
      <c r="C416" s="63"/>
    </row>
    <row r="417">
      <c r="C417" s="63"/>
    </row>
    <row r="418">
      <c r="C418" s="63"/>
    </row>
    <row r="419">
      <c r="C419" s="63"/>
    </row>
    <row r="420">
      <c r="C420" s="63"/>
    </row>
    <row r="421">
      <c r="C421" s="63"/>
    </row>
    <row r="422">
      <c r="C422" s="63"/>
    </row>
    <row r="423">
      <c r="C423" s="63"/>
    </row>
    <row r="424">
      <c r="C424" s="63"/>
    </row>
    <row r="425">
      <c r="C425" s="63"/>
    </row>
    <row r="426">
      <c r="C426" s="63"/>
    </row>
    <row r="427">
      <c r="C427" s="63"/>
    </row>
    <row r="428">
      <c r="C428" s="63"/>
    </row>
    <row r="429">
      <c r="C429" s="63"/>
    </row>
    <row r="430">
      <c r="C430" s="63"/>
    </row>
    <row r="431">
      <c r="C431" s="63"/>
    </row>
    <row r="432">
      <c r="C432" s="63"/>
    </row>
    <row r="433">
      <c r="C433" s="63"/>
    </row>
    <row r="434">
      <c r="C434" s="63"/>
    </row>
    <row r="435">
      <c r="C435" s="63"/>
    </row>
    <row r="436">
      <c r="C436" s="63"/>
    </row>
    <row r="437">
      <c r="C437" s="63"/>
    </row>
    <row r="438">
      <c r="C438" s="63"/>
    </row>
    <row r="439">
      <c r="C439" s="63"/>
    </row>
    <row r="440">
      <c r="C440" s="63"/>
    </row>
    <row r="441">
      <c r="C441" s="63"/>
    </row>
    <row r="442">
      <c r="C442" s="63"/>
    </row>
    <row r="443">
      <c r="C443" s="63"/>
    </row>
    <row r="444">
      <c r="C444" s="63"/>
    </row>
    <row r="445">
      <c r="C445" s="63"/>
    </row>
    <row r="446">
      <c r="C446" s="63"/>
    </row>
    <row r="447">
      <c r="C447" s="63"/>
    </row>
    <row r="448">
      <c r="C448" s="63"/>
    </row>
    <row r="449">
      <c r="C449" s="63"/>
    </row>
    <row r="450">
      <c r="C450" s="63"/>
    </row>
    <row r="451">
      <c r="C451" s="63"/>
    </row>
    <row r="452">
      <c r="C452" s="63"/>
    </row>
    <row r="453">
      <c r="C453" s="63"/>
    </row>
    <row r="454">
      <c r="C454" s="63"/>
    </row>
    <row r="455">
      <c r="C455" s="63"/>
    </row>
    <row r="456">
      <c r="C456" s="63"/>
    </row>
    <row r="457">
      <c r="C457" s="63"/>
    </row>
    <row r="458">
      <c r="C458" s="63"/>
    </row>
    <row r="459">
      <c r="C459" s="63"/>
    </row>
    <row r="460">
      <c r="C460" s="63"/>
    </row>
    <row r="461">
      <c r="C461" s="63"/>
    </row>
    <row r="462">
      <c r="C462" s="63"/>
    </row>
    <row r="463">
      <c r="C463" s="63"/>
    </row>
    <row r="464">
      <c r="C464" s="63"/>
    </row>
    <row r="465">
      <c r="C465" s="63"/>
    </row>
    <row r="466">
      <c r="C466" s="63"/>
    </row>
    <row r="467">
      <c r="C467" s="63"/>
    </row>
    <row r="468">
      <c r="C468" s="63"/>
    </row>
    <row r="469">
      <c r="C469" s="63"/>
    </row>
    <row r="470">
      <c r="C470" s="63"/>
    </row>
    <row r="471">
      <c r="C471" s="63"/>
    </row>
    <row r="472">
      <c r="C472" s="63"/>
    </row>
    <row r="473">
      <c r="C473" s="63"/>
    </row>
    <row r="474">
      <c r="C474" s="63"/>
    </row>
    <row r="475">
      <c r="C475" s="63"/>
    </row>
    <row r="476">
      <c r="C476" s="63"/>
    </row>
    <row r="477">
      <c r="C477" s="63"/>
    </row>
    <row r="478">
      <c r="C478" s="63"/>
    </row>
    <row r="479">
      <c r="C479" s="63"/>
    </row>
    <row r="480">
      <c r="C480" s="63"/>
    </row>
    <row r="481">
      <c r="C481" s="63"/>
    </row>
    <row r="482">
      <c r="C482" s="63"/>
    </row>
    <row r="483">
      <c r="C483" s="63"/>
    </row>
    <row r="484">
      <c r="C484" s="63"/>
    </row>
    <row r="485">
      <c r="C485" s="63"/>
    </row>
    <row r="486">
      <c r="C486" s="63"/>
    </row>
    <row r="487">
      <c r="C487" s="63"/>
    </row>
    <row r="488">
      <c r="C488" s="63"/>
    </row>
    <row r="489">
      <c r="C489" s="63"/>
    </row>
    <row r="490">
      <c r="C490" s="63"/>
    </row>
    <row r="491">
      <c r="C491" s="63"/>
    </row>
    <row r="492">
      <c r="C492" s="63"/>
    </row>
    <row r="493">
      <c r="C493" s="63"/>
    </row>
    <row r="494">
      <c r="C494" s="63"/>
    </row>
    <row r="495">
      <c r="C495" s="63"/>
    </row>
    <row r="496">
      <c r="C496" s="63"/>
    </row>
    <row r="497">
      <c r="C497" s="63"/>
    </row>
    <row r="498">
      <c r="C498" s="63"/>
    </row>
    <row r="499">
      <c r="C499" s="63"/>
    </row>
    <row r="500">
      <c r="C500" s="63"/>
    </row>
    <row r="501">
      <c r="C501" s="63"/>
    </row>
    <row r="502">
      <c r="C502" s="63"/>
    </row>
    <row r="503">
      <c r="C503" s="63"/>
    </row>
    <row r="504">
      <c r="C504" s="63"/>
    </row>
    <row r="505">
      <c r="C505" s="63"/>
    </row>
    <row r="506">
      <c r="C506" s="63"/>
    </row>
    <row r="507">
      <c r="C507" s="63"/>
    </row>
    <row r="508">
      <c r="C508" s="63"/>
    </row>
    <row r="509">
      <c r="C509" s="63"/>
    </row>
    <row r="510">
      <c r="C510" s="63"/>
    </row>
    <row r="511">
      <c r="C511" s="63"/>
    </row>
    <row r="512">
      <c r="C512" s="63"/>
    </row>
    <row r="513">
      <c r="C513" s="63"/>
    </row>
    <row r="514">
      <c r="C514" s="63"/>
    </row>
    <row r="515">
      <c r="C515" s="63"/>
    </row>
    <row r="516">
      <c r="C516" s="63"/>
    </row>
    <row r="517">
      <c r="C517" s="63"/>
    </row>
    <row r="518">
      <c r="C518" s="63"/>
    </row>
    <row r="519">
      <c r="C519" s="63"/>
    </row>
    <row r="520">
      <c r="C520" s="63"/>
    </row>
    <row r="521">
      <c r="C521" s="63"/>
    </row>
    <row r="522">
      <c r="C522" s="63"/>
    </row>
    <row r="523">
      <c r="C523" s="63"/>
    </row>
    <row r="524">
      <c r="C524" s="63"/>
    </row>
    <row r="525">
      <c r="C525" s="63"/>
    </row>
    <row r="526">
      <c r="C526" s="63"/>
    </row>
    <row r="527">
      <c r="C527" s="63"/>
    </row>
    <row r="528">
      <c r="C528" s="63"/>
    </row>
    <row r="529">
      <c r="C529" s="63"/>
    </row>
    <row r="530">
      <c r="C530" s="63"/>
    </row>
    <row r="531">
      <c r="C531" s="63"/>
    </row>
    <row r="532">
      <c r="C532" s="63"/>
    </row>
    <row r="533">
      <c r="C533" s="63"/>
    </row>
    <row r="534">
      <c r="C534" s="63"/>
    </row>
    <row r="535">
      <c r="C535" s="63"/>
    </row>
    <row r="536">
      <c r="C536" s="63"/>
    </row>
    <row r="537">
      <c r="C537" s="63"/>
    </row>
    <row r="538">
      <c r="C538" s="63"/>
    </row>
    <row r="539">
      <c r="C539" s="63"/>
    </row>
    <row r="540">
      <c r="C540" s="63"/>
    </row>
    <row r="541">
      <c r="C541" s="63"/>
    </row>
    <row r="542">
      <c r="C542" s="63"/>
    </row>
    <row r="543">
      <c r="C543" s="63"/>
    </row>
    <row r="544">
      <c r="C544" s="63"/>
    </row>
    <row r="545">
      <c r="C545" s="63"/>
    </row>
    <row r="546">
      <c r="C546" s="63"/>
    </row>
    <row r="547">
      <c r="C547" s="63"/>
    </row>
    <row r="548">
      <c r="C548" s="63"/>
    </row>
    <row r="549">
      <c r="C549" s="63"/>
    </row>
    <row r="550">
      <c r="C550" s="63"/>
    </row>
    <row r="551">
      <c r="C551" s="63"/>
    </row>
    <row r="552">
      <c r="C552" s="63"/>
    </row>
    <row r="553">
      <c r="C553" s="63"/>
    </row>
    <row r="554">
      <c r="C554" s="63"/>
    </row>
    <row r="555">
      <c r="C555" s="63"/>
    </row>
    <row r="556">
      <c r="C556" s="63"/>
    </row>
    <row r="557">
      <c r="C557" s="63"/>
    </row>
    <row r="558">
      <c r="C558" s="63"/>
    </row>
    <row r="559">
      <c r="C559" s="63"/>
    </row>
    <row r="560">
      <c r="C560" s="63"/>
    </row>
    <row r="561">
      <c r="C561" s="63"/>
    </row>
    <row r="562">
      <c r="C562" s="63"/>
    </row>
    <row r="563">
      <c r="C563" s="63"/>
    </row>
    <row r="564">
      <c r="C564" s="63"/>
    </row>
    <row r="565">
      <c r="C565" s="63"/>
    </row>
    <row r="566">
      <c r="C566" s="63"/>
    </row>
    <row r="567">
      <c r="C567" s="63"/>
    </row>
    <row r="568">
      <c r="C568" s="63"/>
    </row>
    <row r="569">
      <c r="C569" s="63"/>
    </row>
    <row r="570">
      <c r="C570" s="63"/>
    </row>
    <row r="571">
      <c r="C571" s="63"/>
    </row>
    <row r="572">
      <c r="C572" s="63"/>
    </row>
    <row r="573">
      <c r="C573" s="63"/>
    </row>
    <row r="574">
      <c r="C574" s="63"/>
    </row>
    <row r="575">
      <c r="C575" s="63"/>
    </row>
    <row r="576">
      <c r="C576" s="63"/>
    </row>
    <row r="577">
      <c r="C577" s="63"/>
    </row>
    <row r="578">
      <c r="C578" s="63"/>
    </row>
    <row r="579">
      <c r="C579" s="63"/>
    </row>
    <row r="580">
      <c r="C580" s="63"/>
    </row>
    <row r="581">
      <c r="C581" s="63"/>
    </row>
    <row r="582">
      <c r="C582" s="63"/>
    </row>
    <row r="583">
      <c r="C583" s="63"/>
    </row>
    <row r="584">
      <c r="C584" s="63"/>
    </row>
    <row r="585">
      <c r="C585" s="63"/>
    </row>
    <row r="586">
      <c r="C586" s="63"/>
    </row>
    <row r="587">
      <c r="C587" s="63"/>
    </row>
    <row r="588">
      <c r="C588" s="63"/>
    </row>
    <row r="589">
      <c r="C589" s="63"/>
    </row>
    <row r="590">
      <c r="C590" s="63"/>
    </row>
    <row r="591">
      <c r="C591" s="63"/>
    </row>
    <row r="592">
      <c r="C592" s="63"/>
    </row>
    <row r="593">
      <c r="C593" s="63"/>
    </row>
    <row r="594">
      <c r="C594" s="63"/>
    </row>
    <row r="595">
      <c r="C595" s="63"/>
    </row>
    <row r="596">
      <c r="C596" s="63"/>
    </row>
    <row r="597">
      <c r="C597" s="63"/>
    </row>
    <row r="598">
      <c r="C598" s="63"/>
    </row>
    <row r="599">
      <c r="C599" s="63"/>
    </row>
    <row r="600">
      <c r="C600" s="63"/>
    </row>
    <row r="601">
      <c r="C601" s="63"/>
    </row>
    <row r="602">
      <c r="C602" s="63"/>
    </row>
    <row r="603">
      <c r="C603" s="63"/>
    </row>
    <row r="604">
      <c r="C604" s="63"/>
    </row>
    <row r="605">
      <c r="C605" s="63"/>
    </row>
    <row r="606">
      <c r="C606" s="63"/>
    </row>
    <row r="607">
      <c r="C607" s="63"/>
    </row>
    <row r="608">
      <c r="C608" s="63"/>
    </row>
    <row r="609">
      <c r="C609" s="63"/>
    </row>
    <row r="610">
      <c r="C610" s="63"/>
    </row>
    <row r="611">
      <c r="C611" s="63"/>
    </row>
    <row r="612">
      <c r="C612" s="63"/>
    </row>
    <row r="613">
      <c r="C613" s="63"/>
    </row>
    <row r="614">
      <c r="C614" s="63"/>
    </row>
    <row r="615">
      <c r="C615" s="63"/>
    </row>
    <row r="616">
      <c r="C616" s="63"/>
    </row>
    <row r="617">
      <c r="C617" s="63"/>
    </row>
    <row r="618">
      <c r="C618" s="63"/>
    </row>
    <row r="619">
      <c r="C619" s="63"/>
    </row>
    <row r="620">
      <c r="C620" s="63"/>
    </row>
    <row r="621">
      <c r="C621" s="63"/>
    </row>
    <row r="622">
      <c r="C622" s="63"/>
    </row>
    <row r="623">
      <c r="C623" s="63"/>
    </row>
    <row r="624">
      <c r="C624" s="63"/>
    </row>
    <row r="625">
      <c r="C625" s="63"/>
    </row>
    <row r="626">
      <c r="C626" s="63"/>
    </row>
    <row r="627">
      <c r="C627" s="63"/>
    </row>
    <row r="628">
      <c r="C628" s="63"/>
    </row>
    <row r="629">
      <c r="C629" s="63"/>
    </row>
    <row r="630">
      <c r="C630" s="63"/>
    </row>
    <row r="631">
      <c r="C631" s="63"/>
    </row>
    <row r="632">
      <c r="C632" s="63"/>
    </row>
    <row r="633">
      <c r="C633" s="63"/>
    </row>
    <row r="634">
      <c r="C634" s="63"/>
    </row>
    <row r="635">
      <c r="C635" s="63"/>
    </row>
    <row r="636">
      <c r="C636" s="63"/>
    </row>
    <row r="637">
      <c r="C637" s="63"/>
    </row>
    <row r="638">
      <c r="C638" s="63"/>
    </row>
    <row r="639">
      <c r="C639" s="63"/>
    </row>
    <row r="640">
      <c r="C640" s="63"/>
    </row>
    <row r="641">
      <c r="C641" s="63"/>
    </row>
    <row r="642">
      <c r="C642" s="63"/>
    </row>
    <row r="643">
      <c r="C643" s="63"/>
    </row>
    <row r="644">
      <c r="C644" s="63"/>
    </row>
    <row r="645">
      <c r="C645" s="63"/>
    </row>
    <row r="646">
      <c r="C646" s="63"/>
    </row>
    <row r="647">
      <c r="C647" s="63"/>
    </row>
    <row r="648">
      <c r="C648" s="63"/>
    </row>
    <row r="649">
      <c r="C649" s="63"/>
    </row>
    <row r="650">
      <c r="C650" s="63"/>
    </row>
    <row r="651">
      <c r="C651" s="63"/>
    </row>
    <row r="652">
      <c r="C652" s="63"/>
    </row>
    <row r="653">
      <c r="C653" s="63"/>
    </row>
    <row r="654">
      <c r="C654" s="63"/>
    </row>
    <row r="655">
      <c r="C655" s="63"/>
    </row>
    <row r="656">
      <c r="C656" s="63"/>
    </row>
    <row r="657">
      <c r="C657" s="63"/>
    </row>
    <row r="658">
      <c r="C658" s="63"/>
    </row>
    <row r="659">
      <c r="C659" s="63"/>
    </row>
    <row r="660">
      <c r="C660" s="63"/>
    </row>
    <row r="661">
      <c r="C661" s="63"/>
    </row>
    <row r="662">
      <c r="C662" s="63"/>
    </row>
    <row r="663">
      <c r="C663" s="63"/>
    </row>
    <row r="664">
      <c r="C664" s="63"/>
    </row>
    <row r="665">
      <c r="C665" s="63"/>
    </row>
    <row r="666">
      <c r="C666" s="63"/>
    </row>
    <row r="667">
      <c r="C667" s="63"/>
    </row>
    <row r="668">
      <c r="C668" s="63"/>
    </row>
    <row r="669">
      <c r="C669" s="63"/>
    </row>
    <row r="670">
      <c r="C670" s="63"/>
    </row>
    <row r="671">
      <c r="C671" s="63"/>
    </row>
    <row r="672">
      <c r="C672" s="63"/>
    </row>
    <row r="673">
      <c r="C673" s="63"/>
    </row>
    <row r="674">
      <c r="C674" s="63"/>
    </row>
    <row r="675">
      <c r="C675" s="63"/>
    </row>
    <row r="676">
      <c r="C676" s="63"/>
    </row>
    <row r="677">
      <c r="C677" s="63"/>
    </row>
    <row r="678">
      <c r="C678" s="63"/>
    </row>
    <row r="679">
      <c r="C679" s="63"/>
    </row>
    <row r="680">
      <c r="C680" s="63"/>
    </row>
    <row r="681">
      <c r="C681" s="63"/>
    </row>
    <row r="682">
      <c r="C682" s="63"/>
    </row>
    <row r="683">
      <c r="C683" s="63"/>
    </row>
    <row r="684">
      <c r="C684" s="63"/>
    </row>
    <row r="685">
      <c r="C685" s="63"/>
    </row>
    <row r="686">
      <c r="C686" s="63"/>
    </row>
    <row r="687">
      <c r="C687" s="63"/>
    </row>
    <row r="688">
      <c r="C688" s="63"/>
    </row>
    <row r="689">
      <c r="C689" s="63"/>
    </row>
    <row r="690">
      <c r="C690" s="63"/>
    </row>
    <row r="691">
      <c r="C691" s="63"/>
    </row>
    <row r="692">
      <c r="C692" s="63"/>
    </row>
    <row r="693">
      <c r="C693" s="63"/>
    </row>
    <row r="694">
      <c r="C694" s="63"/>
    </row>
    <row r="695">
      <c r="C695" s="63"/>
    </row>
    <row r="696">
      <c r="C696" s="63"/>
    </row>
    <row r="697">
      <c r="C697" s="63"/>
    </row>
    <row r="698">
      <c r="C698" s="63"/>
    </row>
    <row r="699">
      <c r="C699" s="63"/>
    </row>
    <row r="700">
      <c r="C700" s="63"/>
    </row>
    <row r="701">
      <c r="C701" s="63"/>
    </row>
    <row r="702">
      <c r="C702" s="63"/>
    </row>
    <row r="703">
      <c r="C703" s="63"/>
    </row>
    <row r="704">
      <c r="C704" s="63"/>
    </row>
    <row r="705">
      <c r="C705" s="63"/>
    </row>
    <row r="706">
      <c r="C706" s="63"/>
    </row>
    <row r="707">
      <c r="C707" s="63"/>
    </row>
    <row r="708">
      <c r="C708" s="63"/>
    </row>
    <row r="709">
      <c r="C709" s="63"/>
    </row>
    <row r="710">
      <c r="C710" s="63"/>
    </row>
    <row r="711">
      <c r="C711" s="63"/>
    </row>
    <row r="712">
      <c r="C712" s="63"/>
    </row>
    <row r="713">
      <c r="C713" s="63"/>
    </row>
    <row r="714">
      <c r="C714" s="63"/>
    </row>
    <row r="715">
      <c r="C715" s="63"/>
    </row>
    <row r="716">
      <c r="C716" s="63"/>
    </row>
    <row r="717">
      <c r="C717" s="63"/>
    </row>
    <row r="718">
      <c r="C718" s="63"/>
    </row>
    <row r="719">
      <c r="C719" s="63"/>
    </row>
    <row r="720">
      <c r="C720" s="63"/>
    </row>
    <row r="721">
      <c r="C721" s="63"/>
    </row>
    <row r="722">
      <c r="C722" s="63"/>
    </row>
    <row r="723">
      <c r="C723" s="63"/>
    </row>
    <row r="724">
      <c r="C724" s="63"/>
    </row>
    <row r="725">
      <c r="C725" s="63"/>
    </row>
    <row r="726">
      <c r="C726" s="63"/>
    </row>
    <row r="727">
      <c r="C727" s="63"/>
    </row>
    <row r="728">
      <c r="C728" s="63"/>
    </row>
    <row r="729">
      <c r="C729" s="63"/>
    </row>
    <row r="730">
      <c r="C730" s="63"/>
    </row>
    <row r="731">
      <c r="C731" s="63"/>
    </row>
    <row r="732">
      <c r="C732" s="63"/>
    </row>
    <row r="733">
      <c r="C733" s="63"/>
    </row>
    <row r="734">
      <c r="C734" s="63"/>
    </row>
    <row r="735">
      <c r="C735" s="63"/>
    </row>
    <row r="736">
      <c r="C736" s="63"/>
    </row>
    <row r="737">
      <c r="C737" s="63"/>
    </row>
    <row r="738">
      <c r="C738" s="63"/>
    </row>
    <row r="739">
      <c r="C739" s="63"/>
    </row>
    <row r="740">
      <c r="C740" s="63"/>
    </row>
    <row r="741">
      <c r="C741" s="63"/>
    </row>
    <row r="742">
      <c r="C742" s="63"/>
    </row>
    <row r="743">
      <c r="C743" s="63"/>
    </row>
    <row r="744">
      <c r="C744" s="63"/>
    </row>
    <row r="745">
      <c r="C745" s="63"/>
    </row>
    <row r="746">
      <c r="C746" s="63"/>
    </row>
    <row r="747">
      <c r="C747" s="63"/>
    </row>
    <row r="748">
      <c r="C748" s="63"/>
    </row>
    <row r="749">
      <c r="C749" s="63"/>
    </row>
    <row r="750">
      <c r="C750" s="63"/>
    </row>
    <row r="751">
      <c r="C751" s="63"/>
    </row>
    <row r="752">
      <c r="C752" s="63"/>
    </row>
    <row r="753">
      <c r="C753" s="63"/>
    </row>
    <row r="754">
      <c r="C754" s="63"/>
    </row>
    <row r="755">
      <c r="C755" s="63"/>
    </row>
    <row r="756">
      <c r="C756" s="63"/>
    </row>
    <row r="757">
      <c r="C757" s="63"/>
    </row>
    <row r="758">
      <c r="C758" s="63"/>
    </row>
    <row r="759">
      <c r="C759" s="63"/>
    </row>
    <row r="760">
      <c r="C760" s="63"/>
    </row>
    <row r="761">
      <c r="C761" s="63"/>
    </row>
    <row r="762">
      <c r="C762" s="63"/>
    </row>
    <row r="763">
      <c r="C763" s="63"/>
    </row>
    <row r="764">
      <c r="C764" s="63"/>
    </row>
    <row r="765">
      <c r="C765" s="63"/>
    </row>
    <row r="766">
      <c r="C766" s="63"/>
    </row>
    <row r="767">
      <c r="C767" s="63"/>
    </row>
    <row r="768">
      <c r="C768" s="63"/>
    </row>
    <row r="769">
      <c r="C769" s="63"/>
    </row>
    <row r="770">
      <c r="C770" s="63"/>
    </row>
    <row r="771">
      <c r="C771" s="63"/>
    </row>
    <row r="772">
      <c r="C772" s="63"/>
    </row>
    <row r="773">
      <c r="C773" s="63"/>
    </row>
    <row r="774">
      <c r="C774" s="63"/>
    </row>
    <row r="775">
      <c r="C775" s="63"/>
    </row>
    <row r="776">
      <c r="C776" s="63"/>
    </row>
    <row r="777">
      <c r="C777" s="63"/>
    </row>
    <row r="778">
      <c r="C778" s="63"/>
    </row>
    <row r="779">
      <c r="C779" s="63"/>
    </row>
    <row r="780">
      <c r="C780" s="63"/>
    </row>
    <row r="781">
      <c r="C781" s="63"/>
    </row>
    <row r="782">
      <c r="C782" s="63"/>
    </row>
    <row r="783">
      <c r="C783" s="63"/>
    </row>
    <row r="784">
      <c r="C784" s="63"/>
    </row>
    <row r="785">
      <c r="C785" s="63"/>
    </row>
    <row r="786">
      <c r="C786" s="63"/>
    </row>
    <row r="787">
      <c r="C787" s="63"/>
    </row>
    <row r="788">
      <c r="C788" s="63"/>
    </row>
    <row r="789">
      <c r="C789" s="63"/>
    </row>
    <row r="790">
      <c r="C790" s="63"/>
    </row>
    <row r="791">
      <c r="C791" s="63"/>
    </row>
    <row r="792">
      <c r="C792" s="63"/>
    </row>
    <row r="793">
      <c r="C793" s="63"/>
    </row>
    <row r="794">
      <c r="C794" s="63"/>
    </row>
    <row r="795">
      <c r="C795" s="63"/>
    </row>
    <row r="796">
      <c r="C796" s="63"/>
    </row>
    <row r="797">
      <c r="C797" s="63"/>
    </row>
    <row r="798">
      <c r="C798" s="63"/>
    </row>
    <row r="799">
      <c r="C799" s="63"/>
    </row>
    <row r="800">
      <c r="C800" s="63"/>
    </row>
    <row r="801">
      <c r="C801" s="63"/>
    </row>
    <row r="802">
      <c r="C802" s="63"/>
    </row>
    <row r="803">
      <c r="C803" s="63"/>
    </row>
    <row r="804">
      <c r="C804" s="63"/>
    </row>
    <row r="805">
      <c r="C805" s="63"/>
    </row>
    <row r="806">
      <c r="C806" s="63"/>
    </row>
    <row r="807">
      <c r="C807" s="63"/>
    </row>
    <row r="808">
      <c r="C808" s="63"/>
    </row>
    <row r="809">
      <c r="C809" s="63"/>
    </row>
    <row r="810">
      <c r="C810" s="63"/>
    </row>
    <row r="811">
      <c r="C811" s="63"/>
    </row>
    <row r="812">
      <c r="C812" s="63"/>
    </row>
    <row r="813">
      <c r="C813" s="63"/>
    </row>
    <row r="814">
      <c r="C814" s="63"/>
    </row>
    <row r="815">
      <c r="C815" s="63"/>
    </row>
    <row r="816">
      <c r="C816" s="63"/>
    </row>
    <row r="817">
      <c r="C817" s="63"/>
    </row>
    <row r="818">
      <c r="C818" s="63"/>
    </row>
    <row r="819">
      <c r="C819" s="63"/>
    </row>
    <row r="820">
      <c r="C820" s="63"/>
    </row>
    <row r="821">
      <c r="C821" s="63"/>
    </row>
    <row r="822">
      <c r="C822" s="63"/>
    </row>
    <row r="823">
      <c r="C823" s="63"/>
    </row>
    <row r="824">
      <c r="C824" s="63"/>
    </row>
    <row r="825">
      <c r="C825" s="63"/>
    </row>
    <row r="826">
      <c r="C826" s="63"/>
    </row>
    <row r="827">
      <c r="C827" s="63"/>
    </row>
    <row r="828">
      <c r="C828" s="63"/>
    </row>
    <row r="829">
      <c r="C829" s="63"/>
    </row>
    <row r="830">
      <c r="C830" s="63"/>
    </row>
    <row r="831">
      <c r="C831" s="63"/>
    </row>
    <row r="832">
      <c r="C832" s="63"/>
    </row>
    <row r="833">
      <c r="C833" s="63"/>
    </row>
    <row r="834">
      <c r="C834" s="63"/>
    </row>
    <row r="835">
      <c r="C835" s="63"/>
    </row>
    <row r="836">
      <c r="C836" s="63"/>
    </row>
    <row r="837">
      <c r="C837" s="63"/>
    </row>
    <row r="838">
      <c r="C838" s="63"/>
    </row>
    <row r="839">
      <c r="C839" s="63"/>
    </row>
    <row r="840">
      <c r="C840" s="63"/>
    </row>
    <row r="841">
      <c r="C841" s="63"/>
    </row>
    <row r="842">
      <c r="C842" s="63"/>
    </row>
    <row r="843">
      <c r="C843" s="63"/>
    </row>
    <row r="844">
      <c r="C844" s="63"/>
    </row>
    <row r="845">
      <c r="C845" s="63"/>
    </row>
    <row r="846">
      <c r="C846" s="63"/>
    </row>
    <row r="847">
      <c r="C847" s="63"/>
    </row>
    <row r="848">
      <c r="C848" s="63"/>
    </row>
    <row r="849">
      <c r="C849" s="63"/>
    </row>
    <row r="850">
      <c r="C850" s="63"/>
    </row>
    <row r="851">
      <c r="C851" s="63"/>
    </row>
    <row r="852">
      <c r="C852" s="63"/>
    </row>
    <row r="853">
      <c r="C853" s="63"/>
    </row>
    <row r="854">
      <c r="C854" s="63"/>
    </row>
    <row r="855">
      <c r="C855" s="63"/>
    </row>
    <row r="856">
      <c r="C856" s="63"/>
    </row>
    <row r="857">
      <c r="C857" s="63"/>
    </row>
    <row r="858">
      <c r="C858" s="63"/>
    </row>
    <row r="859">
      <c r="C859" s="63"/>
    </row>
    <row r="860">
      <c r="C860" s="63"/>
    </row>
    <row r="861">
      <c r="C861" s="63"/>
    </row>
    <row r="862">
      <c r="C862" s="63"/>
    </row>
    <row r="863">
      <c r="C863" s="63"/>
    </row>
    <row r="864">
      <c r="C864" s="63"/>
    </row>
    <row r="865">
      <c r="C865" s="63"/>
    </row>
    <row r="866">
      <c r="C866" s="63"/>
    </row>
    <row r="867">
      <c r="C867" s="63"/>
    </row>
    <row r="868">
      <c r="C868" s="63"/>
    </row>
    <row r="869">
      <c r="C869" s="63"/>
    </row>
    <row r="870">
      <c r="C870" s="63"/>
    </row>
    <row r="871">
      <c r="C871" s="63"/>
    </row>
    <row r="872">
      <c r="C872" s="63"/>
    </row>
    <row r="873">
      <c r="C873" s="63"/>
    </row>
  </sheetData>
  <mergeCells count="6">
    <mergeCell ref="A2:A32"/>
    <mergeCell ref="B2:B5"/>
    <mergeCell ref="B6:B12"/>
    <mergeCell ref="B13:B19"/>
    <mergeCell ref="B20:B26"/>
    <mergeCell ref="B27:B3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5"/>
    <col customWidth="1" min="3" max="3" width="2.88"/>
    <col customWidth="1" min="4" max="4" width="8.0"/>
    <col customWidth="1" min="7" max="7" width="27.63"/>
    <col customWidth="1" min="8" max="8" width="37.13"/>
  </cols>
  <sheetData>
    <row r="1">
      <c r="B1" s="12" t="s">
        <v>13</v>
      </c>
      <c r="C1" s="52"/>
      <c r="D1" s="14"/>
      <c r="E1" s="15" t="s">
        <v>5</v>
      </c>
      <c r="F1" s="15" t="s">
        <v>14</v>
      </c>
      <c r="G1" s="12" t="s">
        <v>55</v>
      </c>
      <c r="H1" s="12"/>
    </row>
    <row r="2">
      <c r="A2" s="53" t="s">
        <v>71</v>
      </c>
      <c r="B2" s="64">
        <v>52.0</v>
      </c>
      <c r="C2" s="57">
        <v>1.0</v>
      </c>
      <c r="D2" s="32" t="s">
        <v>42</v>
      </c>
      <c r="E2" s="31"/>
      <c r="F2" s="58"/>
      <c r="G2" s="31"/>
      <c r="H2" s="31"/>
      <c r="J2" s="26"/>
      <c r="K2" s="21" t="s">
        <v>17</v>
      </c>
    </row>
    <row r="3">
      <c r="A3" s="22"/>
      <c r="B3" s="59">
        <v>1.0</v>
      </c>
      <c r="C3" s="46">
        <v>2.0</v>
      </c>
      <c r="D3" s="21" t="s">
        <v>35</v>
      </c>
      <c r="E3" s="47" t="s">
        <v>59</v>
      </c>
      <c r="J3" s="28"/>
      <c r="K3" s="21" t="s">
        <v>18</v>
      </c>
    </row>
    <row r="4">
      <c r="A4" s="22"/>
      <c r="C4" s="46">
        <v>3.0</v>
      </c>
      <c r="D4" s="21" t="s">
        <v>36</v>
      </c>
      <c r="E4" s="47" t="s">
        <v>59</v>
      </c>
    </row>
    <row r="5">
      <c r="A5" s="22"/>
      <c r="C5" s="46">
        <v>4.0</v>
      </c>
      <c r="D5" s="21" t="s">
        <v>37</v>
      </c>
      <c r="E5" s="21" t="s">
        <v>63</v>
      </c>
      <c r="F5" s="47" t="s">
        <v>59</v>
      </c>
    </row>
    <row r="6">
      <c r="A6" s="22"/>
      <c r="C6" s="46">
        <v>5.0</v>
      </c>
      <c r="D6" s="21" t="s">
        <v>38</v>
      </c>
      <c r="E6" s="21" t="s">
        <v>63</v>
      </c>
      <c r="F6" s="47" t="s">
        <v>59</v>
      </c>
    </row>
    <row r="7">
      <c r="A7" s="22"/>
      <c r="C7" s="51">
        <v>6.0</v>
      </c>
      <c r="D7" s="60" t="s">
        <v>39</v>
      </c>
      <c r="E7" s="26"/>
      <c r="G7" s="51"/>
    </row>
    <row r="8">
      <c r="A8" s="22"/>
      <c r="C8" s="46">
        <v>7.0</v>
      </c>
      <c r="D8" s="21" t="s">
        <v>41</v>
      </c>
      <c r="E8" s="26"/>
    </row>
    <row r="9">
      <c r="A9" s="22"/>
      <c r="B9" s="39"/>
      <c r="C9" s="57">
        <v>8.0</v>
      </c>
      <c r="D9" s="32" t="s">
        <v>42</v>
      </c>
      <c r="E9" s="58"/>
      <c r="F9" s="31"/>
      <c r="G9" s="31"/>
      <c r="H9" s="31"/>
    </row>
    <row r="10">
      <c r="A10" s="22"/>
      <c r="B10" s="59">
        <v>2.0</v>
      </c>
      <c r="C10" s="46">
        <v>9.0</v>
      </c>
      <c r="D10" s="21" t="s">
        <v>35</v>
      </c>
      <c r="F10" s="26"/>
    </row>
    <row r="11">
      <c r="A11" s="22"/>
      <c r="C11" s="46">
        <v>10.0</v>
      </c>
      <c r="D11" s="21" t="s">
        <v>36</v>
      </c>
      <c r="F11" s="26"/>
    </row>
    <row r="12">
      <c r="A12" s="22"/>
      <c r="C12" s="46">
        <v>11.0</v>
      </c>
      <c r="D12" s="21" t="s">
        <v>37</v>
      </c>
      <c r="E12" s="26"/>
    </row>
    <row r="13">
      <c r="A13" s="22"/>
      <c r="C13" s="46">
        <v>12.0</v>
      </c>
      <c r="D13" s="21" t="s">
        <v>38</v>
      </c>
      <c r="E13" s="26"/>
    </row>
    <row r="14">
      <c r="A14" s="22"/>
      <c r="C14" s="46">
        <v>13.0</v>
      </c>
      <c r="D14" s="21" t="s">
        <v>39</v>
      </c>
      <c r="F14" s="26"/>
    </row>
    <row r="15">
      <c r="A15" s="22"/>
      <c r="C15" s="46">
        <v>14.0</v>
      </c>
      <c r="D15" s="21" t="s">
        <v>41</v>
      </c>
      <c r="F15" s="26"/>
    </row>
    <row r="16">
      <c r="A16" s="22"/>
      <c r="B16" s="39"/>
      <c r="C16" s="57">
        <v>15.0</v>
      </c>
      <c r="D16" s="32" t="s">
        <v>42</v>
      </c>
      <c r="E16" s="31"/>
      <c r="F16" s="58"/>
      <c r="G16" s="31"/>
      <c r="H16" s="31"/>
    </row>
    <row r="17">
      <c r="A17" s="22"/>
      <c r="B17" s="59">
        <v>3.0</v>
      </c>
      <c r="C17" s="46">
        <v>16.0</v>
      </c>
      <c r="D17" s="21" t="s">
        <v>35</v>
      </c>
      <c r="E17" s="47" t="s">
        <v>72</v>
      </c>
    </row>
    <row r="18">
      <c r="A18" s="22"/>
      <c r="C18" s="46">
        <v>17.0</v>
      </c>
      <c r="D18" s="21" t="s">
        <v>36</v>
      </c>
      <c r="E18" s="47" t="s">
        <v>72</v>
      </c>
    </row>
    <row r="19">
      <c r="A19" s="22"/>
      <c r="C19" s="46">
        <v>18.0</v>
      </c>
      <c r="D19" s="21" t="s">
        <v>37</v>
      </c>
      <c r="E19" s="21" t="s">
        <v>72</v>
      </c>
      <c r="F19" s="26"/>
    </row>
    <row r="20">
      <c r="A20" s="22"/>
      <c r="C20" s="46">
        <v>19.0</v>
      </c>
      <c r="D20" s="21" t="s">
        <v>38</v>
      </c>
      <c r="F20" s="26"/>
    </row>
    <row r="21">
      <c r="A21" s="22"/>
      <c r="C21" s="46">
        <v>20.0</v>
      </c>
      <c r="D21" s="21" t="s">
        <v>39</v>
      </c>
      <c r="E21" s="26"/>
    </row>
    <row r="22">
      <c r="A22" s="22"/>
      <c r="C22" s="46">
        <v>21.0</v>
      </c>
      <c r="D22" s="21" t="s">
        <v>41</v>
      </c>
      <c r="E22" s="26"/>
    </row>
    <row r="23">
      <c r="A23" s="22"/>
      <c r="B23" s="39"/>
      <c r="C23" s="57">
        <v>22.0</v>
      </c>
      <c r="D23" s="32" t="s">
        <v>42</v>
      </c>
      <c r="E23" s="58"/>
      <c r="F23" s="31"/>
      <c r="G23" s="31"/>
      <c r="H23" s="31"/>
    </row>
    <row r="24">
      <c r="A24" s="22"/>
      <c r="B24" s="59">
        <v>4.0</v>
      </c>
      <c r="C24" s="46">
        <v>23.0</v>
      </c>
      <c r="D24" s="21" t="s">
        <v>35</v>
      </c>
      <c r="F24" s="26"/>
    </row>
    <row r="25">
      <c r="A25" s="22"/>
      <c r="C25" s="46">
        <v>24.0</v>
      </c>
      <c r="D25" s="21" t="s">
        <v>36</v>
      </c>
      <c r="F25" s="47" t="s">
        <v>73</v>
      </c>
    </row>
    <row r="26">
      <c r="A26" s="22"/>
      <c r="C26" s="46">
        <v>25.0</v>
      </c>
      <c r="D26" s="21" t="s">
        <v>37</v>
      </c>
      <c r="E26" s="26"/>
    </row>
    <row r="27">
      <c r="A27" s="22"/>
      <c r="C27" s="46">
        <v>26.0</v>
      </c>
      <c r="D27" s="21" t="s">
        <v>38</v>
      </c>
      <c r="E27" s="26"/>
    </row>
    <row r="28">
      <c r="A28" s="22"/>
      <c r="C28" s="46">
        <v>27.0</v>
      </c>
      <c r="D28" s="21" t="s">
        <v>39</v>
      </c>
      <c r="F28" s="26"/>
    </row>
    <row r="29">
      <c r="A29" s="22"/>
      <c r="C29" s="46">
        <v>28.0</v>
      </c>
      <c r="D29" s="21" t="s">
        <v>41</v>
      </c>
      <c r="F29" s="26"/>
      <c r="G29" s="65" t="s">
        <v>74</v>
      </c>
    </row>
    <row r="30">
      <c r="A30" s="22"/>
      <c r="B30" s="39"/>
      <c r="C30" s="57">
        <v>29.0</v>
      </c>
      <c r="D30" s="32" t="s">
        <v>42</v>
      </c>
      <c r="E30" s="31"/>
      <c r="F30" s="58"/>
      <c r="G30" s="32"/>
      <c r="H30" s="31"/>
    </row>
    <row r="31">
      <c r="A31" s="22"/>
      <c r="B31" s="59">
        <v>5.0</v>
      </c>
      <c r="C31" s="46">
        <v>30.0</v>
      </c>
      <c r="D31" s="21" t="s">
        <v>35</v>
      </c>
      <c r="E31" s="66" t="s">
        <v>75</v>
      </c>
      <c r="F31" s="26"/>
    </row>
    <row r="32">
      <c r="A32" s="22"/>
      <c r="C32" s="46">
        <v>31.0</v>
      </c>
      <c r="D32" s="21" t="s">
        <v>36</v>
      </c>
      <c r="E32" s="66" t="s">
        <v>75</v>
      </c>
      <c r="F32" s="47" t="s">
        <v>26</v>
      </c>
    </row>
    <row r="33">
      <c r="C33" s="63"/>
    </row>
    <row r="34">
      <c r="C34" s="63"/>
    </row>
    <row r="35">
      <c r="C35" s="63"/>
    </row>
    <row r="36">
      <c r="C36" s="63"/>
    </row>
    <row r="37">
      <c r="C37" s="63"/>
    </row>
    <row r="38">
      <c r="C38" s="63"/>
    </row>
    <row r="39">
      <c r="C39" s="63"/>
    </row>
    <row r="40">
      <c r="C40" s="63"/>
    </row>
    <row r="41">
      <c r="C41" s="63"/>
    </row>
    <row r="42">
      <c r="C42" s="63"/>
    </row>
    <row r="43">
      <c r="C43" s="63"/>
    </row>
    <row r="44">
      <c r="C44" s="63"/>
    </row>
    <row r="45">
      <c r="C45" s="63"/>
    </row>
    <row r="46">
      <c r="C46" s="63"/>
    </row>
    <row r="47">
      <c r="C47" s="63"/>
    </row>
    <row r="48">
      <c r="C48" s="63"/>
    </row>
    <row r="49">
      <c r="C49" s="63"/>
    </row>
    <row r="50">
      <c r="C50" s="63"/>
    </row>
    <row r="51">
      <c r="C51" s="63"/>
    </row>
    <row r="52">
      <c r="C52" s="63"/>
    </row>
    <row r="53">
      <c r="C53" s="63"/>
    </row>
    <row r="54">
      <c r="C54" s="63"/>
    </row>
    <row r="55">
      <c r="C55" s="63"/>
    </row>
    <row r="56">
      <c r="C56" s="63"/>
    </row>
    <row r="57">
      <c r="C57" s="63"/>
    </row>
    <row r="58">
      <c r="C58" s="63"/>
    </row>
    <row r="59">
      <c r="C59" s="63"/>
    </row>
    <row r="60">
      <c r="C60" s="63"/>
    </row>
    <row r="61">
      <c r="C61" s="63"/>
    </row>
    <row r="62">
      <c r="C62" s="63"/>
    </row>
    <row r="63">
      <c r="C63" s="63"/>
    </row>
    <row r="64">
      <c r="C64" s="63"/>
    </row>
    <row r="65">
      <c r="C65" s="63"/>
    </row>
    <row r="66">
      <c r="C66" s="63"/>
    </row>
    <row r="67">
      <c r="C67" s="63"/>
    </row>
    <row r="68">
      <c r="C68" s="63"/>
    </row>
    <row r="69">
      <c r="C69" s="63"/>
    </row>
    <row r="70">
      <c r="C70" s="63"/>
    </row>
    <row r="71">
      <c r="C71" s="63"/>
    </row>
    <row r="72">
      <c r="C72" s="63"/>
    </row>
    <row r="73">
      <c r="C73" s="63"/>
    </row>
    <row r="74">
      <c r="C74" s="63"/>
    </row>
    <row r="75">
      <c r="C75" s="63"/>
    </row>
    <row r="76">
      <c r="C76" s="63"/>
    </row>
    <row r="77">
      <c r="C77" s="63"/>
    </row>
    <row r="78">
      <c r="C78" s="63"/>
    </row>
    <row r="79">
      <c r="C79" s="63"/>
    </row>
    <row r="80">
      <c r="C80" s="63"/>
    </row>
    <row r="81">
      <c r="C81" s="63"/>
    </row>
    <row r="82">
      <c r="C82" s="63"/>
    </row>
    <row r="83">
      <c r="C83" s="63"/>
    </row>
    <row r="84">
      <c r="C84" s="63"/>
    </row>
    <row r="85">
      <c r="C85" s="63"/>
    </row>
    <row r="86">
      <c r="C86" s="63"/>
    </row>
    <row r="87">
      <c r="C87" s="63"/>
    </row>
    <row r="88">
      <c r="C88" s="63"/>
    </row>
    <row r="89">
      <c r="C89" s="63"/>
    </row>
    <row r="90">
      <c r="C90" s="63"/>
    </row>
    <row r="91">
      <c r="C91" s="63"/>
    </row>
    <row r="92">
      <c r="C92" s="63"/>
    </row>
    <row r="93">
      <c r="C93" s="63"/>
    </row>
    <row r="94">
      <c r="C94" s="63"/>
    </row>
    <row r="95">
      <c r="C95" s="63"/>
    </row>
    <row r="96">
      <c r="C96" s="63"/>
    </row>
    <row r="97">
      <c r="C97" s="63"/>
    </row>
    <row r="98">
      <c r="C98" s="63"/>
    </row>
    <row r="99">
      <c r="C99" s="63"/>
    </row>
    <row r="100">
      <c r="C100" s="63"/>
    </row>
    <row r="101">
      <c r="C101" s="63"/>
    </row>
    <row r="102">
      <c r="C102" s="63"/>
    </row>
    <row r="103">
      <c r="C103" s="63"/>
    </row>
    <row r="104">
      <c r="C104" s="63"/>
    </row>
    <row r="105">
      <c r="C105" s="63"/>
    </row>
    <row r="106">
      <c r="C106" s="63"/>
    </row>
    <row r="107">
      <c r="C107" s="63"/>
    </row>
    <row r="108">
      <c r="C108" s="63"/>
    </row>
    <row r="109">
      <c r="C109" s="63"/>
    </row>
    <row r="110">
      <c r="C110" s="63"/>
    </row>
    <row r="111">
      <c r="C111" s="63"/>
    </row>
    <row r="112">
      <c r="C112" s="63"/>
    </row>
    <row r="113">
      <c r="C113" s="63"/>
    </row>
    <row r="114">
      <c r="C114" s="63"/>
    </row>
    <row r="115">
      <c r="C115" s="63"/>
    </row>
    <row r="116">
      <c r="C116" s="63"/>
    </row>
    <row r="117">
      <c r="C117" s="63"/>
    </row>
    <row r="118">
      <c r="C118" s="63"/>
    </row>
    <row r="119">
      <c r="C119" s="63"/>
    </row>
    <row r="120">
      <c r="C120" s="63"/>
    </row>
    <row r="121">
      <c r="C121" s="63"/>
    </row>
    <row r="122">
      <c r="C122" s="63"/>
    </row>
    <row r="123">
      <c r="C123" s="63"/>
    </row>
    <row r="124">
      <c r="C124" s="63"/>
    </row>
    <row r="125">
      <c r="C125" s="63"/>
    </row>
    <row r="126">
      <c r="C126" s="63"/>
    </row>
    <row r="127">
      <c r="C127" s="63"/>
    </row>
    <row r="128">
      <c r="C128" s="63"/>
    </row>
    <row r="129">
      <c r="C129" s="63"/>
    </row>
    <row r="130">
      <c r="C130" s="63"/>
    </row>
    <row r="131">
      <c r="C131" s="63"/>
    </row>
    <row r="132">
      <c r="C132" s="63"/>
    </row>
    <row r="133">
      <c r="C133" s="63"/>
    </row>
    <row r="134">
      <c r="C134" s="63"/>
    </row>
    <row r="135">
      <c r="C135" s="63"/>
    </row>
    <row r="136">
      <c r="C136" s="63"/>
    </row>
    <row r="137">
      <c r="C137" s="63"/>
    </row>
    <row r="138">
      <c r="C138" s="63"/>
    </row>
    <row r="139">
      <c r="C139" s="63"/>
    </row>
    <row r="140">
      <c r="C140" s="63"/>
    </row>
    <row r="141">
      <c r="C141" s="63"/>
    </row>
    <row r="142">
      <c r="C142" s="63"/>
    </row>
    <row r="143">
      <c r="C143" s="63"/>
    </row>
    <row r="144">
      <c r="C144" s="63"/>
    </row>
    <row r="145">
      <c r="C145" s="63"/>
    </row>
    <row r="146">
      <c r="C146" s="63"/>
    </row>
    <row r="147">
      <c r="C147" s="63"/>
    </row>
    <row r="148">
      <c r="C148" s="63"/>
    </row>
    <row r="149">
      <c r="C149" s="63"/>
    </row>
    <row r="150">
      <c r="C150" s="63"/>
    </row>
    <row r="151">
      <c r="C151" s="63"/>
    </row>
    <row r="152">
      <c r="C152" s="63"/>
    </row>
    <row r="153">
      <c r="C153" s="63"/>
    </row>
    <row r="154">
      <c r="C154" s="63"/>
    </row>
    <row r="155">
      <c r="C155" s="63"/>
    </row>
    <row r="156">
      <c r="C156" s="63"/>
    </row>
    <row r="157">
      <c r="C157" s="63"/>
    </row>
    <row r="158">
      <c r="C158" s="63"/>
    </row>
    <row r="159">
      <c r="C159" s="63"/>
    </row>
    <row r="160">
      <c r="C160" s="63"/>
    </row>
    <row r="161">
      <c r="C161" s="63"/>
    </row>
    <row r="162">
      <c r="C162" s="63"/>
    </row>
    <row r="163">
      <c r="C163" s="63"/>
    </row>
    <row r="164">
      <c r="C164" s="63"/>
    </row>
    <row r="165">
      <c r="C165" s="63"/>
    </row>
    <row r="166">
      <c r="C166" s="63"/>
    </row>
    <row r="167">
      <c r="C167" s="63"/>
    </row>
    <row r="168">
      <c r="C168" s="63"/>
    </row>
    <row r="169">
      <c r="C169" s="63"/>
    </row>
    <row r="170">
      <c r="C170" s="63"/>
    </row>
    <row r="171">
      <c r="C171" s="63"/>
    </row>
    <row r="172">
      <c r="C172" s="63"/>
    </row>
    <row r="173">
      <c r="C173" s="63"/>
    </row>
    <row r="174">
      <c r="C174" s="63"/>
    </row>
    <row r="175">
      <c r="C175" s="63"/>
    </row>
    <row r="176">
      <c r="C176" s="63"/>
    </row>
    <row r="177">
      <c r="C177" s="63"/>
    </row>
    <row r="178">
      <c r="C178" s="63"/>
    </row>
    <row r="179">
      <c r="C179" s="63"/>
    </row>
    <row r="180">
      <c r="C180" s="63"/>
    </row>
    <row r="181">
      <c r="C181" s="63"/>
    </row>
    <row r="182">
      <c r="C182" s="63"/>
    </row>
    <row r="183">
      <c r="C183" s="63"/>
    </row>
    <row r="184">
      <c r="C184" s="63"/>
    </row>
    <row r="185">
      <c r="C185" s="63"/>
    </row>
    <row r="186">
      <c r="C186" s="63"/>
    </row>
    <row r="187">
      <c r="C187" s="63"/>
    </row>
    <row r="188">
      <c r="C188" s="63"/>
    </row>
    <row r="189">
      <c r="C189" s="63"/>
    </row>
    <row r="190">
      <c r="C190" s="63"/>
    </row>
    <row r="191">
      <c r="C191" s="63"/>
    </row>
    <row r="192">
      <c r="C192" s="63"/>
    </row>
    <row r="193">
      <c r="C193" s="63"/>
    </row>
    <row r="194">
      <c r="C194" s="63"/>
    </row>
    <row r="195">
      <c r="C195" s="63"/>
    </row>
    <row r="196">
      <c r="C196" s="63"/>
    </row>
    <row r="197">
      <c r="C197" s="63"/>
    </row>
    <row r="198">
      <c r="C198" s="63"/>
    </row>
    <row r="199">
      <c r="C199" s="63"/>
    </row>
    <row r="200">
      <c r="C200" s="63"/>
    </row>
    <row r="201">
      <c r="C201" s="63"/>
    </row>
    <row r="202">
      <c r="C202" s="63"/>
    </row>
    <row r="203">
      <c r="C203" s="63"/>
    </row>
    <row r="204">
      <c r="C204" s="63"/>
    </row>
    <row r="205">
      <c r="C205" s="63"/>
    </row>
    <row r="206">
      <c r="C206" s="63"/>
    </row>
    <row r="207">
      <c r="C207" s="63"/>
    </row>
    <row r="208">
      <c r="C208" s="63"/>
    </row>
    <row r="209">
      <c r="C209" s="63"/>
    </row>
    <row r="210">
      <c r="C210" s="63"/>
    </row>
    <row r="211">
      <c r="C211" s="63"/>
    </row>
    <row r="212">
      <c r="C212" s="63"/>
    </row>
    <row r="213">
      <c r="C213" s="63"/>
    </row>
    <row r="214">
      <c r="C214" s="63"/>
    </row>
    <row r="215">
      <c r="C215" s="63"/>
    </row>
    <row r="216">
      <c r="C216" s="63"/>
    </row>
    <row r="217">
      <c r="C217" s="63"/>
    </row>
    <row r="218">
      <c r="C218" s="63"/>
    </row>
    <row r="219">
      <c r="C219" s="63"/>
    </row>
    <row r="220">
      <c r="C220" s="63"/>
    </row>
    <row r="221">
      <c r="C221" s="63"/>
    </row>
    <row r="222">
      <c r="C222" s="63"/>
    </row>
    <row r="223">
      <c r="C223" s="63"/>
    </row>
    <row r="224">
      <c r="C224" s="63"/>
    </row>
    <row r="225">
      <c r="C225" s="63"/>
    </row>
    <row r="226">
      <c r="C226" s="63"/>
    </row>
    <row r="227">
      <c r="C227" s="63"/>
    </row>
    <row r="228">
      <c r="C228" s="63"/>
    </row>
    <row r="229">
      <c r="C229" s="63"/>
    </row>
    <row r="230">
      <c r="C230" s="63"/>
    </row>
    <row r="231">
      <c r="C231" s="63"/>
    </row>
    <row r="232">
      <c r="C232" s="63"/>
    </row>
    <row r="233">
      <c r="C233" s="63"/>
    </row>
    <row r="234">
      <c r="C234" s="63"/>
    </row>
    <row r="235">
      <c r="C235" s="63"/>
    </row>
    <row r="236">
      <c r="C236" s="63"/>
    </row>
    <row r="237">
      <c r="C237" s="63"/>
    </row>
    <row r="238">
      <c r="C238" s="63"/>
    </row>
    <row r="239">
      <c r="C239" s="63"/>
    </row>
    <row r="240">
      <c r="C240" s="63"/>
    </row>
    <row r="241">
      <c r="C241" s="63"/>
    </row>
    <row r="242">
      <c r="C242" s="63"/>
    </row>
    <row r="243">
      <c r="C243" s="63"/>
    </row>
    <row r="244">
      <c r="C244" s="63"/>
    </row>
    <row r="245">
      <c r="C245" s="63"/>
    </row>
    <row r="246">
      <c r="C246" s="63"/>
    </row>
    <row r="247">
      <c r="C247" s="63"/>
    </row>
    <row r="248">
      <c r="C248" s="63"/>
    </row>
    <row r="249">
      <c r="C249" s="63"/>
    </row>
    <row r="250">
      <c r="C250" s="63"/>
    </row>
    <row r="251">
      <c r="C251" s="63"/>
    </row>
    <row r="252">
      <c r="C252" s="63"/>
    </row>
    <row r="253">
      <c r="C253" s="63"/>
    </row>
    <row r="254">
      <c r="C254" s="63"/>
    </row>
    <row r="255">
      <c r="C255" s="63"/>
    </row>
    <row r="256">
      <c r="C256" s="63"/>
    </row>
    <row r="257">
      <c r="C257" s="63"/>
    </row>
    <row r="258">
      <c r="C258" s="63"/>
    </row>
    <row r="259">
      <c r="C259" s="63"/>
    </row>
    <row r="260">
      <c r="C260" s="63"/>
    </row>
    <row r="261">
      <c r="C261" s="63"/>
    </row>
    <row r="262">
      <c r="C262" s="63"/>
    </row>
    <row r="263">
      <c r="C263" s="63"/>
    </row>
    <row r="264">
      <c r="C264" s="63"/>
    </row>
    <row r="265">
      <c r="C265" s="63"/>
    </row>
    <row r="266">
      <c r="C266" s="63"/>
    </row>
    <row r="267">
      <c r="C267" s="63"/>
    </row>
    <row r="268">
      <c r="C268" s="63"/>
    </row>
    <row r="269">
      <c r="C269" s="63"/>
    </row>
    <row r="270">
      <c r="C270" s="63"/>
    </row>
    <row r="271">
      <c r="C271" s="63"/>
    </row>
    <row r="272">
      <c r="C272" s="63"/>
    </row>
    <row r="273">
      <c r="C273" s="63"/>
    </row>
    <row r="274">
      <c r="C274" s="63"/>
    </row>
    <row r="275">
      <c r="C275" s="63"/>
    </row>
    <row r="276">
      <c r="C276" s="63"/>
    </row>
    <row r="277">
      <c r="C277" s="63"/>
    </row>
    <row r="278">
      <c r="C278" s="63"/>
    </row>
    <row r="279">
      <c r="C279" s="63"/>
    </row>
    <row r="280">
      <c r="C280" s="63"/>
    </row>
    <row r="281">
      <c r="C281" s="63"/>
    </row>
    <row r="282">
      <c r="C282" s="63"/>
    </row>
    <row r="283">
      <c r="C283" s="63"/>
    </row>
    <row r="284">
      <c r="C284" s="63"/>
    </row>
    <row r="285">
      <c r="C285" s="63"/>
    </row>
    <row r="286">
      <c r="C286" s="63"/>
    </row>
    <row r="287">
      <c r="C287" s="63"/>
    </row>
    <row r="288">
      <c r="C288" s="63"/>
    </row>
    <row r="289">
      <c r="C289" s="63"/>
    </row>
    <row r="290">
      <c r="C290" s="63"/>
    </row>
    <row r="291">
      <c r="C291" s="63"/>
    </row>
    <row r="292">
      <c r="C292" s="63"/>
    </row>
    <row r="293">
      <c r="C293" s="63"/>
    </row>
    <row r="294">
      <c r="C294" s="63"/>
    </row>
    <row r="295">
      <c r="C295" s="63"/>
    </row>
    <row r="296">
      <c r="C296" s="63"/>
    </row>
    <row r="297">
      <c r="C297" s="63"/>
    </row>
    <row r="298">
      <c r="C298" s="63"/>
    </row>
    <row r="299">
      <c r="C299" s="63"/>
    </row>
    <row r="300">
      <c r="C300" s="63"/>
    </row>
    <row r="301">
      <c r="C301" s="63"/>
    </row>
    <row r="302">
      <c r="C302" s="63"/>
    </row>
    <row r="303">
      <c r="C303" s="63"/>
    </row>
    <row r="304">
      <c r="C304" s="63"/>
    </row>
    <row r="305">
      <c r="C305" s="63"/>
    </row>
    <row r="306">
      <c r="C306" s="63"/>
    </row>
    <row r="307">
      <c r="C307" s="63"/>
    </row>
    <row r="308">
      <c r="C308" s="63"/>
    </row>
    <row r="309">
      <c r="C309" s="63"/>
    </row>
    <row r="310">
      <c r="C310" s="63"/>
    </row>
    <row r="311">
      <c r="C311" s="63"/>
    </row>
    <row r="312">
      <c r="C312" s="63"/>
    </row>
    <row r="313">
      <c r="C313" s="63"/>
    </row>
    <row r="314">
      <c r="C314" s="63"/>
    </row>
    <row r="315">
      <c r="C315" s="63"/>
    </row>
    <row r="316">
      <c r="C316" s="63"/>
    </row>
    <row r="317">
      <c r="C317" s="63"/>
    </row>
    <row r="318">
      <c r="C318" s="63"/>
    </row>
    <row r="319">
      <c r="C319" s="63"/>
    </row>
    <row r="320">
      <c r="C320" s="63"/>
    </row>
    <row r="321">
      <c r="C321" s="63"/>
    </row>
    <row r="322">
      <c r="C322" s="63"/>
    </row>
    <row r="323">
      <c r="C323" s="63"/>
    </row>
    <row r="324">
      <c r="C324" s="63"/>
    </row>
    <row r="325">
      <c r="C325" s="63"/>
    </row>
    <row r="326">
      <c r="C326" s="63"/>
    </row>
    <row r="327">
      <c r="C327" s="63"/>
    </row>
    <row r="328">
      <c r="C328" s="63"/>
    </row>
    <row r="329">
      <c r="C329" s="63"/>
    </row>
    <row r="330">
      <c r="C330" s="63"/>
    </row>
    <row r="331">
      <c r="C331" s="63"/>
    </row>
    <row r="332">
      <c r="C332" s="63"/>
    </row>
    <row r="333">
      <c r="C333" s="63"/>
    </row>
    <row r="334">
      <c r="C334" s="63"/>
    </row>
    <row r="335">
      <c r="C335" s="63"/>
    </row>
    <row r="336">
      <c r="C336" s="63"/>
    </row>
    <row r="337">
      <c r="C337" s="63"/>
    </row>
    <row r="338">
      <c r="C338" s="63"/>
    </row>
    <row r="339">
      <c r="C339" s="63"/>
    </row>
    <row r="340">
      <c r="C340" s="63"/>
    </row>
    <row r="341">
      <c r="C341" s="63"/>
    </row>
    <row r="342">
      <c r="C342" s="63"/>
    </row>
    <row r="343">
      <c r="C343" s="63"/>
    </row>
    <row r="344">
      <c r="C344" s="63"/>
    </row>
    <row r="345">
      <c r="C345" s="63"/>
    </row>
    <row r="346">
      <c r="C346" s="63"/>
    </row>
    <row r="347">
      <c r="C347" s="63"/>
    </row>
    <row r="348">
      <c r="C348" s="63"/>
    </row>
    <row r="349">
      <c r="C349" s="63"/>
    </row>
    <row r="350">
      <c r="C350" s="63"/>
    </row>
    <row r="351">
      <c r="C351" s="63"/>
    </row>
    <row r="352">
      <c r="C352" s="63"/>
    </row>
    <row r="353">
      <c r="C353" s="63"/>
    </row>
    <row r="354">
      <c r="C354" s="63"/>
    </row>
    <row r="355">
      <c r="C355" s="63"/>
    </row>
    <row r="356">
      <c r="C356" s="63"/>
    </row>
    <row r="357">
      <c r="C357" s="63"/>
    </row>
    <row r="358">
      <c r="C358" s="63"/>
    </row>
    <row r="359">
      <c r="C359" s="63"/>
    </row>
    <row r="360">
      <c r="C360" s="63"/>
    </row>
    <row r="361">
      <c r="C361" s="63"/>
    </row>
    <row r="362">
      <c r="C362" s="63"/>
    </row>
    <row r="363">
      <c r="C363" s="63"/>
    </row>
    <row r="364">
      <c r="C364" s="63"/>
    </row>
    <row r="365">
      <c r="C365" s="63"/>
    </row>
    <row r="366">
      <c r="C366" s="63"/>
    </row>
    <row r="367">
      <c r="C367" s="63"/>
    </row>
    <row r="368">
      <c r="C368" s="63"/>
    </row>
    <row r="369">
      <c r="C369" s="63"/>
    </row>
    <row r="370">
      <c r="C370" s="63"/>
    </row>
    <row r="371">
      <c r="C371" s="63"/>
    </row>
    <row r="372">
      <c r="C372" s="63"/>
    </row>
    <row r="373">
      <c r="C373" s="63"/>
    </row>
    <row r="374">
      <c r="C374" s="63"/>
    </row>
    <row r="375">
      <c r="C375" s="63"/>
    </row>
    <row r="376">
      <c r="C376" s="63"/>
    </row>
    <row r="377">
      <c r="C377" s="63"/>
    </row>
    <row r="378">
      <c r="C378" s="63"/>
    </row>
    <row r="379">
      <c r="C379" s="63"/>
    </row>
    <row r="380">
      <c r="C380" s="63"/>
    </row>
    <row r="381">
      <c r="C381" s="63"/>
    </row>
    <row r="382">
      <c r="C382" s="63"/>
    </row>
    <row r="383">
      <c r="C383" s="63"/>
    </row>
    <row r="384">
      <c r="C384" s="63"/>
    </row>
    <row r="385">
      <c r="C385" s="63"/>
    </row>
    <row r="386">
      <c r="C386" s="63"/>
    </row>
    <row r="387">
      <c r="C387" s="63"/>
    </row>
    <row r="388">
      <c r="C388" s="63"/>
    </row>
    <row r="389">
      <c r="C389" s="63"/>
    </row>
    <row r="390">
      <c r="C390" s="63"/>
    </row>
    <row r="391">
      <c r="C391" s="63"/>
    </row>
    <row r="392">
      <c r="C392" s="63"/>
    </row>
    <row r="393">
      <c r="C393" s="63"/>
    </row>
    <row r="394">
      <c r="C394" s="63"/>
    </row>
    <row r="395">
      <c r="C395" s="63"/>
    </row>
    <row r="396">
      <c r="C396" s="63"/>
    </row>
    <row r="397">
      <c r="C397" s="63"/>
    </row>
    <row r="398">
      <c r="C398" s="63"/>
    </row>
    <row r="399">
      <c r="C399" s="63"/>
    </row>
    <row r="400">
      <c r="C400" s="63"/>
    </row>
    <row r="401">
      <c r="C401" s="63"/>
    </row>
    <row r="402">
      <c r="C402" s="63"/>
    </row>
    <row r="403">
      <c r="C403" s="63"/>
    </row>
    <row r="404">
      <c r="C404" s="63"/>
    </row>
    <row r="405">
      <c r="C405" s="63"/>
    </row>
    <row r="406">
      <c r="C406" s="63"/>
    </row>
    <row r="407">
      <c r="C407" s="63"/>
    </row>
    <row r="408">
      <c r="C408" s="63"/>
    </row>
    <row r="409">
      <c r="C409" s="63"/>
    </row>
    <row r="410">
      <c r="C410" s="63"/>
    </row>
    <row r="411">
      <c r="C411" s="63"/>
    </row>
    <row r="412">
      <c r="C412" s="63"/>
    </row>
    <row r="413">
      <c r="C413" s="63"/>
    </row>
    <row r="414">
      <c r="C414" s="63"/>
    </row>
    <row r="415">
      <c r="C415" s="63"/>
    </row>
    <row r="416">
      <c r="C416" s="63"/>
    </row>
    <row r="417">
      <c r="C417" s="63"/>
    </row>
    <row r="418">
      <c r="C418" s="63"/>
    </row>
    <row r="419">
      <c r="C419" s="63"/>
    </row>
    <row r="420">
      <c r="C420" s="63"/>
    </row>
    <row r="421">
      <c r="C421" s="63"/>
    </row>
    <row r="422">
      <c r="C422" s="63"/>
    </row>
    <row r="423">
      <c r="C423" s="63"/>
    </row>
    <row r="424">
      <c r="C424" s="63"/>
    </row>
    <row r="425">
      <c r="C425" s="63"/>
    </row>
    <row r="426">
      <c r="C426" s="63"/>
    </row>
    <row r="427">
      <c r="C427" s="63"/>
    </row>
    <row r="428">
      <c r="C428" s="63"/>
    </row>
    <row r="429">
      <c r="C429" s="63"/>
    </row>
    <row r="430">
      <c r="C430" s="63"/>
    </row>
    <row r="431">
      <c r="C431" s="63"/>
    </row>
    <row r="432">
      <c r="C432" s="63"/>
    </row>
    <row r="433">
      <c r="C433" s="63"/>
    </row>
    <row r="434">
      <c r="C434" s="63"/>
    </row>
    <row r="435">
      <c r="C435" s="63"/>
    </row>
    <row r="436">
      <c r="C436" s="63"/>
    </row>
    <row r="437">
      <c r="C437" s="63"/>
    </row>
    <row r="438">
      <c r="C438" s="63"/>
    </row>
    <row r="439">
      <c r="C439" s="63"/>
    </row>
    <row r="440">
      <c r="C440" s="63"/>
    </row>
    <row r="441">
      <c r="C441" s="63"/>
    </row>
    <row r="442">
      <c r="C442" s="63"/>
    </row>
    <row r="443">
      <c r="C443" s="63"/>
    </row>
    <row r="444">
      <c r="C444" s="63"/>
    </row>
    <row r="445">
      <c r="C445" s="63"/>
    </row>
    <row r="446">
      <c r="C446" s="63"/>
    </row>
    <row r="447">
      <c r="C447" s="63"/>
    </row>
    <row r="448">
      <c r="C448" s="63"/>
    </row>
    <row r="449">
      <c r="C449" s="63"/>
    </row>
    <row r="450">
      <c r="C450" s="63"/>
    </row>
    <row r="451">
      <c r="C451" s="63"/>
    </row>
    <row r="452">
      <c r="C452" s="63"/>
    </row>
    <row r="453">
      <c r="C453" s="63"/>
    </row>
    <row r="454">
      <c r="C454" s="63"/>
    </row>
    <row r="455">
      <c r="C455" s="63"/>
    </row>
    <row r="456">
      <c r="C456" s="63"/>
    </row>
    <row r="457">
      <c r="C457" s="63"/>
    </row>
    <row r="458">
      <c r="C458" s="63"/>
    </row>
    <row r="459">
      <c r="C459" s="63"/>
    </row>
    <row r="460">
      <c r="C460" s="63"/>
    </row>
    <row r="461">
      <c r="C461" s="63"/>
    </row>
    <row r="462">
      <c r="C462" s="63"/>
    </row>
    <row r="463">
      <c r="C463" s="63"/>
    </row>
    <row r="464">
      <c r="C464" s="63"/>
    </row>
    <row r="465">
      <c r="C465" s="63"/>
    </row>
    <row r="466">
      <c r="C466" s="63"/>
    </row>
    <row r="467">
      <c r="C467" s="63"/>
    </row>
    <row r="468">
      <c r="C468" s="63"/>
    </row>
    <row r="469">
      <c r="C469" s="63"/>
    </row>
    <row r="470">
      <c r="C470" s="63"/>
    </row>
    <row r="471">
      <c r="C471" s="63"/>
    </row>
    <row r="472">
      <c r="C472" s="63"/>
    </row>
    <row r="473">
      <c r="C473" s="63"/>
    </row>
    <row r="474">
      <c r="C474" s="63"/>
    </row>
    <row r="475">
      <c r="C475" s="63"/>
    </row>
    <row r="476">
      <c r="C476" s="63"/>
    </row>
    <row r="477">
      <c r="C477" s="63"/>
    </row>
    <row r="478">
      <c r="C478" s="63"/>
    </row>
    <row r="479">
      <c r="C479" s="63"/>
    </row>
    <row r="480">
      <c r="C480" s="63"/>
    </row>
    <row r="481">
      <c r="C481" s="63"/>
    </row>
    <row r="482">
      <c r="C482" s="63"/>
    </row>
    <row r="483">
      <c r="C483" s="63"/>
    </row>
    <row r="484">
      <c r="C484" s="63"/>
    </row>
    <row r="485">
      <c r="C485" s="63"/>
    </row>
    <row r="486">
      <c r="C486" s="63"/>
    </row>
    <row r="487">
      <c r="C487" s="63"/>
    </row>
    <row r="488">
      <c r="C488" s="63"/>
    </row>
    <row r="489">
      <c r="C489" s="63"/>
    </row>
    <row r="490">
      <c r="C490" s="63"/>
    </row>
    <row r="491">
      <c r="C491" s="63"/>
    </row>
    <row r="492">
      <c r="C492" s="63"/>
    </row>
    <row r="493">
      <c r="C493" s="63"/>
    </row>
    <row r="494">
      <c r="C494" s="63"/>
    </row>
    <row r="495">
      <c r="C495" s="63"/>
    </row>
    <row r="496">
      <c r="C496" s="63"/>
    </row>
    <row r="497">
      <c r="C497" s="63"/>
    </row>
    <row r="498">
      <c r="C498" s="63"/>
    </row>
    <row r="499">
      <c r="C499" s="63"/>
    </row>
    <row r="500">
      <c r="C500" s="63"/>
    </row>
    <row r="501">
      <c r="C501" s="63"/>
    </row>
    <row r="502">
      <c r="C502" s="63"/>
    </row>
    <row r="503">
      <c r="C503" s="63"/>
    </row>
    <row r="504">
      <c r="C504" s="63"/>
    </row>
    <row r="505">
      <c r="C505" s="63"/>
    </row>
    <row r="506">
      <c r="C506" s="63"/>
    </row>
    <row r="507">
      <c r="C507" s="63"/>
    </row>
    <row r="508">
      <c r="C508" s="63"/>
    </row>
    <row r="509">
      <c r="C509" s="63"/>
    </row>
    <row r="510">
      <c r="C510" s="63"/>
    </row>
    <row r="511">
      <c r="C511" s="63"/>
    </row>
    <row r="512">
      <c r="C512" s="63"/>
    </row>
    <row r="513">
      <c r="C513" s="63"/>
    </row>
    <row r="514">
      <c r="C514" s="63"/>
    </row>
    <row r="515">
      <c r="C515" s="63"/>
    </row>
    <row r="516">
      <c r="C516" s="63"/>
    </row>
    <row r="517">
      <c r="C517" s="63"/>
    </row>
    <row r="518">
      <c r="C518" s="63"/>
    </row>
    <row r="519">
      <c r="C519" s="63"/>
    </row>
    <row r="520">
      <c r="C520" s="63"/>
    </row>
    <row r="521">
      <c r="C521" s="63"/>
    </row>
    <row r="522">
      <c r="C522" s="63"/>
    </row>
    <row r="523">
      <c r="C523" s="63"/>
    </row>
    <row r="524">
      <c r="C524" s="63"/>
    </row>
    <row r="525">
      <c r="C525" s="63"/>
    </row>
    <row r="526">
      <c r="C526" s="63"/>
    </row>
    <row r="527">
      <c r="C527" s="63"/>
    </row>
    <row r="528">
      <c r="C528" s="63"/>
    </row>
    <row r="529">
      <c r="C529" s="63"/>
    </row>
    <row r="530">
      <c r="C530" s="63"/>
    </row>
    <row r="531">
      <c r="C531" s="63"/>
    </row>
    <row r="532">
      <c r="C532" s="63"/>
    </row>
    <row r="533">
      <c r="C533" s="63"/>
    </row>
    <row r="534">
      <c r="C534" s="63"/>
    </row>
    <row r="535">
      <c r="C535" s="63"/>
    </row>
    <row r="536">
      <c r="C536" s="63"/>
    </row>
    <row r="537">
      <c r="C537" s="63"/>
    </row>
    <row r="538">
      <c r="C538" s="63"/>
    </row>
    <row r="539">
      <c r="C539" s="63"/>
    </row>
    <row r="540">
      <c r="C540" s="63"/>
    </row>
    <row r="541">
      <c r="C541" s="63"/>
    </row>
    <row r="542">
      <c r="C542" s="63"/>
    </row>
    <row r="543">
      <c r="C543" s="63"/>
    </row>
    <row r="544">
      <c r="C544" s="63"/>
    </row>
    <row r="545">
      <c r="C545" s="63"/>
    </row>
    <row r="546">
      <c r="C546" s="63"/>
    </row>
    <row r="547">
      <c r="C547" s="63"/>
    </row>
    <row r="548">
      <c r="C548" s="63"/>
    </row>
    <row r="549">
      <c r="C549" s="63"/>
    </row>
    <row r="550">
      <c r="C550" s="63"/>
    </row>
    <row r="551">
      <c r="C551" s="63"/>
    </row>
    <row r="552">
      <c r="C552" s="63"/>
    </row>
    <row r="553">
      <c r="C553" s="63"/>
    </row>
    <row r="554">
      <c r="C554" s="63"/>
    </row>
    <row r="555">
      <c r="C555" s="63"/>
    </row>
    <row r="556">
      <c r="C556" s="63"/>
    </row>
    <row r="557">
      <c r="C557" s="63"/>
    </row>
    <row r="558">
      <c r="C558" s="63"/>
    </row>
    <row r="559">
      <c r="C559" s="63"/>
    </row>
    <row r="560">
      <c r="C560" s="63"/>
    </row>
    <row r="561">
      <c r="C561" s="63"/>
    </row>
    <row r="562">
      <c r="C562" s="63"/>
    </row>
    <row r="563">
      <c r="C563" s="63"/>
    </row>
    <row r="564">
      <c r="C564" s="63"/>
    </row>
    <row r="565">
      <c r="C565" s="63"/>
    </row>
    <row r="566">
      <c r="C566" s="63"/>
    </row>
    <row r="567">
      <c r="C567" s="63"/>
    </row>
    <row r="568">
      <c r="C568" s="63"/>
    </row>
    <row r="569">
      <c r="C569" s="63"/>
    </row>
    <row r="570">
      <c r="C570" s="63"/>
    </row>
    <row r="571">
      <c r="C571" s="63"/>
    </row>
    <row r="572">
      <c r="C572" s="63"/>
    </row>
    <row r="573">
      <c r="C573" s="63"/>
    </row>
    <row r="574">
      <c r="C574" s="63"/>
    </row>
    <row r="575">
      <c r="C575" s="63"/>
    </row>
    <row r="576">
      <c r="C576" s="63"/>
    </row>
    <row r="577">
      <c r="C577" s="63"/>
    </row>
    <row r="578">
      <c r="C578" s="63"/>
    </row>
    <row r="579">
      <c r="C579" s="63"/>
    </row>
    <row r="580">
      <c r="C580" s="63"/>
    </row>
    <row r="581">
      <c r="C581" s="63"/>
    </row>
    <row r="582">
      <c r="C582" s="63"/>
    </row>
    <row r="583">
      <c r="C583" s="63"/>
    </row>
    <row r="584">
      <c r="C584" s="63"/>
    </row>
    <row r="585">
      <c r="C585" s="63"/>
    </row>
    <row r="586">
      <c r="C586" s="63"/>
    </row>
    <row r="587">
      <c r="C587" s="63"/>
    </row>
    <row r="588">
      <c r="C588" s="63"/>
    </row>
    <row r="589">
      <c r="C589" s="63"/>
    </row>
    <row r="590">
      <c r="C590" s="63"/>
    </row>
    <row r="591">
      <c r="C591" s="63"/>
    </row>
    <row r="592">
      <c r="C592" s="63"/>
    </row>
    <row r="593">
      <c r="C593" s="63"/>
    </row>
    <row r="594">
      <c r="C594" s="63"/>
    </row>
    <row r="595">
      <c r="C595" s="63"/>
    </row>
    <row r="596">
      <c r="C596" s="63"/>
    </row>
    <row r="597">
      <c r="C597" s="63"/>
    </row>
    <row r="598">
      <c r="C598" s="63"/>
    </row>
    <row r="599">
      <c r="C599" s="63"/>
    </row>
    <row r="600">
      <c r="C600" s="63"/>
    </row>
    <row r="601">
      <c r="C601" s="63"/>
    </row>
    <row r="602">
      <c r="C602" s="63"/>
    </row>
    <row r="603">
      <c r="C603" s="63"/>
    </row>
    <row r="604">
      <c r="C604" s="63"/>
    </row>
    <row r="605">
      <c r="C605" s="63"/>
    </row>
    <row r="606">
      <c r="C606" s="63"/>
    </row>
    <row r="607">
      <c r="C607" s="63"/>
    </row>
    <row r="608">
      <c r="C608" s="63"/>
    </row>
    <row r="609">
      <c r="C609" s="63"/>
    </row>
    <row r="610">
      <c r="C610" s="63"/>
    </row>
    <row r="611">
      <c r="C611" s="63"/>
    </row>
    <row r="612">
      <c r="C612" s="63"/>
    </row>
    <row r="613">
      <c r="C613" s="63"/>
    </row>
    <row r="614">
      <c r="C614" s="63"/>
    </row>
    <row r="615">
      <c r="C615" s="63"/>
    </row>
    <row r="616">
      <c r="C616" s="63"/>
    </row>
    <row r="617">
      <c r="C617" s="63"/>
    </row>
    <row r="618">
      <c r="C618" s="63"/>
    </row>
    <row r="619">
      <c r="C619" s="63"/>
    </row>
    <row r="620">
      <c r="C620" s="63"/>
    </row>
    <row r="621">
      <c r="C621" s="63"/>
    </row>
    <row r="622">
      <c r="C622" s="63"/>
    </row>
    <row r="623">
      <c r="C623" s="63"/>
    </row>
    <row r="624">
      <c r="C624" s="63"/>
    </row>
    <row r="625">
      <c r="C625" s="63"/>
    </row>
    <row r="626">
      <c r="C626" s="63"/>
    </row>
    <row r="627">
      <c r="C627" s="63"/>
    </row>
    <row r="628">
      <c r="C628" s="63"/>
    </row>
    <row r="629">
      <c r="C629" s="63"/>
    </row>
    <row r="630">
      <c r="C630" s="63"/>
    </row>
    <row r="631">
      <c r="C631" s="63"/>
    </row>
    <row r="632">
      <c r="C632" s="63"/>
    </row>
    <row r="633">
      <c r="C633" s="63"/>
    </row>
    <row r="634">
      <c r="C634" s="63"/>
    </row>
    <row r="635">
      <c r="C635" s="63"/>
    </row>
    <row r="636">
      <c r="C636" s="63"/>
    </row>
    <row r="637">
      <c r="C637" s="63"/>
    </row>
    <row r="638">
      <c r="C638" s="63"/>
    </row>
    <row r="639">
      <c r="C639" s="63"/>
    </row>
    <row r="640">
      <c r="C640" s="63"/>
    </row>
    <row r="641">
      <c r="C641" s="63"/>
    </row>
    <row r="642">
      <c r="C642" s="63"/>
    </row>
    <row r="643">
      <c r="C643" s="63"/>
    </row>
    <row r="644">
      <c r="C644" s="63"/>
    </row>
    <row r="645">
      <c r="C645" s="63"/>
    </row>
    <row r="646">
      <c r="C646" s="63"/>
    </row>
    <row r="647">
      <c r="C647" s="63"/>
    </row>
    <row r="648">
      <c r="C648" s="63"/>
    </row>
    <row r="649">
      <c r="C649" s="63"/>
    </row>
    <row r="650">
      <c r="C650" s="63"/>
    </row>
    <row r="651">
      <c r="C651" s="63"/>
    </row>
    <row r="652">
      <c r="C652" s="63"/>
    </row>
    <row r="653">
      <c r="C653" s="63"/>
    </row>
    <row r="654">
      <c r="C654" s="63"/>
    </row>
    <row r="655">
      <c r="C655" s="63"/>
    </row>
    <row r="656">
      <c r="C656" s="63"/>
    </row>
    <row r="657">
      <c r="C657" s="63"/>
    </row>
    <row r="658">
      <c r="C658" s="63"/>
    </row>
    <row r="659">
      <c r="C659" s="63"/>
    </row>
    <row r="660">
      <c r="C660" s="63"/>
    </row>
    <row r="661">
      <c r="C661" s="63"/>
    </row>
    <row r="662">
      <c r="C662" s="63"/>
    </row>
    <row r="663">
      <c r="C663" s="63"/>
    </row>
    <row r="664">
      <c r="C664" s="63"/>
    </row>
    <row r="665">
      <c r="C665" s="63"/>
    </row>
    <row r="666">
      <c r="C666" s="63"/>
    </row>
    <row r="667">
      <c r="C667" s="63"/>
    </row>
    <row r="668">
      <c r="C668" s="63"/>
    </row>
    <row r="669">
      <c r="C669" s="63"/>
    </row>
    <row r="670">
      <c r="C670" s="63"/>
    </row>
    <row r="671">
      <c r="C671" s="63"/>
    </row>
    <row r="672">
      <c r="C672" s="63"/>
    </row>
    <row r="673">
      <c r="C673" s="63"/>
    </row>
    <row r="674">
      <c r="C674" s="63"/>
    </row>
    <row r="675">
      <c r="C675" s="63"/>
    </row>
    <row r="676">
      <c r="C676" s="63"/>
    </row>
    <row r="677">
      <c r="C677" s="63"/>
    </row>
    <row r="678">
      <c r="C678" s="63"/>
    </row>
    <row r="679">
      <c r="C679" s="63"/>
    </row>
    <row r="680">
      <c r="C680" s="63"/>
    </row>
    <row r="681">
      <c r="C681" s="63"/>
    </row>
    <row r="682">
      <c r="C682" s="63"/>
    </row>
    <row r="683">
      <c r="C683" s="63"/>
    </row>
    <row r="684">
      <c r="C684" s="63"/>
    </row>
    <row r="685">
      <c r="C685" s="63"/>
    </row>
    <row r="686">
      <c r="C686" s="63"/>
    </row>
    <row r="687">
      <c r="C687" s="63"/>
    </row>
    <row r="688">
      <c r="C688" s="63"/>
    </row>
    <row r="689">
      <c r="C689" s="63"/>
    </row>
    <row r="690">
      <c r="C690" s="63"/>
    </row>
    <row r="691">
      <c r="C691" s="63"/>
    </row>
    <row r="692">
      <c r="C692" s="63"/>
    </row>
    <row r="693">
      <c r="C693" s="63"/>
    </row>
    <row r="694">
      <c r="C694" s="63"/>
    </row>
    <row r="695">
      <c r="C695" s="63"/>
    </row>
    <row r="696">
      <c r="C696" s="63"/>
    </row>
    <row r="697">
      <c r="C697" s="63"/>
    </row>
    <row r="698">
      <c r="C698" s="63"/>
    </row>
    <row r="699">
      <c r="C699" s="63"/>
    </row>
    <row r="700">
      <c r="C700" s="63"/>
    </row>
    <row r="701">
      <c r="C701" s="63"/>
    </row>
    <row r="702">
      <c r="C702" s="63"/>
    </row>
    <row r="703">
      <c r="C703" s="63"/>
    </row>
    <row r="704">
      <c r="C704" s="63"/>
    </row>
    <row r="705">
      <c r="C705" s="63"/>
    </row>
    <row r="706">
      <c r="C706" s="63"/>
    </row>
    <row r="707">
      <c r="C707" s="63"/>
    </row>
    <row r="708">
      <c r="C708" s="63"/>
    </row>
    <row r="709">
      <c r="C709" s="63"/>
    </row>
    <row r="710">
      <c r="C710" s="63"/>
    </row>
    <row r="711">
      <c r="C711" s="63"/>
    </row>
    <row r="712">
      <c r="C712" s="63"/>
    </row>
    <row r="713">
      <c r="C713" s="63"/>
    </row>
    <row r="714">
      <c r="C714" s="63"/>
    </row>
    <row r="715">
      <c r="C715" s="63"/>
    </row>
    <row r="716">
      <c r="C716" s="63"/>
    </row>
    <row r="717">
      <c r="C717" s="63"/>
    </row>
    <row r="718">
      <c r="C718" s="63"/>
    </row>
    <row r="719">
      <c r="C719" s="63"/>
    </row>
    <row r="720">
      <c r="C720" s="63"/>
    </row>
    <row r="721">
      <c r="C721" s="63"/>
    </row>
    <row r="722">
      <c r="C722" s="63"/>
    </row>
    <row r="723">
      <c r="C723" s="63"/>
    </row>
    <row r="724">
      <c r="C724" s="63"/>
    </row>
    <row r="725">
      <c r="C725" s="63"/>
    </row>
    <row r="726">
      <c r="C726" s="63"/>
    </row>
    <row r="727">
      <c r="C727" s="63"/>
    </row>
    <row r="728">
      <c r="C728" s="63"/>
    </row>
    <row r="729">
      <c r="C729" s="63"/>
    </row>
    <row r="730">
      <c r="C730" s="63"/>
    </row>
    <row r="731">
      <c r="C731" s="63"/>
    </row>
    <row r="732">
      <c r="C732" s="63"/>
    </row>
    <row r="733">
      <c r="C733" s="63"/>
    </row>
    <row r="734">
      <c r="C734" s="63"/>
    </row>
    <row r="735">
      <c r="C735" s="63"/>
    </row>
    <row r="736">
      <c r="C736" s="63"/>
    </row>
    <row r="737">
      <c r="C737" s="63"/>
    </row>
    <row r="738">
      <c r="C738" s="63"/>
    </row>
    <row r="739">
      <c r="C739" s="63"/>
    </row>
    <row r="740">
      <c r="C740" s="63"/>
    </row>
    <row r="741">
      <c r="C741" s="63"/>
    </row>
    <row r="742">
      <c r="C742" s="63"/>
    </row>
    <row r="743">
      <c r="C743" s="63"/>
    </row>
    <row r="744">
      <c r="C744" s="63"/>
    </row>
    <row r="745">
      <c r="C745" s="63"/>
    </row>
    <row r="746">
      <c r="C746" s="63"/>
    </row>
    <row r="747">
      <c r="C747" s="63"/>
    </row>
    <row r="748">
      <c r="C748" s="63"/>
    </row>
    <row r="749">
      <c r="C749" s="63"/>
    </row>
    <row r="750">
      <c r="C750" s="63"/>
    </row>
    <row r="751">
      <c r="C751" s="63"/>
    </row>
    <row r="752">
      <c r="C752" s="63"/>
    </row>
    <row r="753">
      <c r="C753" s="63"/>
    </row>
    <row r="754">
      <c r="C754" s="63"/>
    </row>
    <row r="755">
      <c r="C755" s="63"/>
    </row>
    <row r="756">
      <c r="C756" s="63"/>
    </row>
    <row r="757">
      <c r="C757" s="63"/>
    </row>
    <row r="758">
      <c r="C758" s="63"/>
    </row>
    <row r="759">
      <c r="C759" s="63"/>
    </row>
    <row r="760">
      <c r="C760" s="63"/>
    </row>
    <row r="761">
      <c r="C761" s="63"/>
    </row>
    <row r="762">
      <c r="C762" s="63"/>
    </row>
    <row r="763">
      <c r="C763" s="63"/>
    </row>
    <row r="764">
      <c r="C764" s="63"/>
    </row>
    <row r="765">
      <c r="C765" s="63"/>
    </row>
    <row r="766">
      <c r="C766" s="63"/>
    </row>
    <row r="767">
      <c r="C767" s="63"/>
    </row>
    <row r="768">
      <c r="C768" s="63"/>
    </row>
    <row r="769">
      <c r="C769" s="63"/>
    </row>
    <row r="770">
      <c r="C770" s="63"/>
    </row>
    <row r="771">
      <c r="C771" s="63"/>
    </row>
    <row r="772">
      <c r="C772" s="63"/>
    </row>
    <row r="773">
      <c r="C773" s="63"/>
    </row>
    <row r="774">
      <c r="C774" s="63"/>
    </row>
    <row r="775">
      <c r="C775" s="63"/>
    </row>
    <row r="776">
      <c r="C776" s="63"/>
    </row>
    <row r="777">
      <c r="C777" s="63"/>
    </row>
    <row r="778">
      <c r="C778" s="63"/>
    </row>
    <row r="779">
      <c r="C779" s="63"/>
    </row>
    <row r="780">
      <c r="C780" s="63"/>
    </row>
    <row r="781">
      <c r="C781" s="63"/>
    </row>
    <row r="782">
      <c r="C782" s="63"/>
    </row>
    <row r="783">
      <c r="C783" s="63"/>
    </row>
    <row r="784">
      <c r="C784" s="63"/>
    </row>
    <row r="785">
      <c r="C785" s="63"/>
    </row>
    <row r="786">
      <c r="C786" s="63"/>
    </row>
    <row r="787">
      <c r="C787" s="63"/>
    </row>
    <row r="788">
      <c r="C788" s="63"/>
    </row>
    <row r="789">
      <c r="C789" s="63"/>
    </row>
    <row r="790">
      <c r="C790" s="63"/>
    </row>
    <row r="791">
      <c r="C791" s="63"/>
    </row>
    <row r="792">
      <c r="C792" s="63"/>
    </row>
    <row r="793">
      <c r="C793" s="63"/>
    </row>
    <row r="794">
      <c r="C794" s="63"/>
    </row>
    <row r="795">
      <c r="C795" s="63"/>
    </row>
    <row r="796">
      <c r="C796" s="63"/>
    </row>
    <row r="797">
      <c r="C797" s="63"/>
    </row>
    <row r="798">
      <c r="C798" s="63"/>
    </row>
    <row r="799">
      <c r="C799" s="63"/>
    </row>
    <row r="800">
      <c r="C800" s="63"/>
    </row>
    <row r="801">
      <c r="C801" s="63"/>
    </row>
    <row r="802">
      <c r="C802" s="63"/>
    </row>
    <row r="803">
      <c r="C803" s="63"/>
    </row>
    <row r="804">
      <c r="C804" s="63"/>
    </row>
    <row r="805">
      <c r="C805" s="63"/>
    </row>
    <row r="806">
      <c r="C806" s="63"/>
    </row>
    <row r="807">
      <c r="C807" s="63"/>
    </row>
    <row r="808">
      <c r="C808" s="63"/>
    </row>
    <row r="809">
      <c r="C809" s="63"/>
    </row>
    <row r="810">
      <c r="C810" s="63"/>
    </row>
    <row r="811">
      <c r="C811" s="63"/>
    </row>
    <row r="812">
      <c r="C812" s="63"/>
    </row>
    <row r="813">
      <c r="C813" s="63"/>
    </row>
    <row r="814">
      <c r="C814" s="63"/>
    </row>
    <row r="815">
      <c r="C815" s="63"/>
    </row>
    <row r="816">
      <c r="C816" s="63"/>
    </row>
    <row r="817">
      <c r="C817" s="63"/>
    </row>
    <row r="818">
      <c r="C818" s="63"/>
    </row>
    <row r="819">
      <c r="C819" s="63"/>
    </row>
    <row r="820">
      <c r="C820" s="63"/>
    </row>
    <row r="821">
      <c r="C821" s="63"/>
    </row>
    <row r="822">
      <c r="C822" s="63"/>
    </row>
    <row r="823">
      <c r="C823" s="63"/>
    </row>
    <row r="824">
      <c r="C824" s="63"/>
    </row>
    <row r="825">
      <c r="C825" s="63"/>
    </row>
    <row r="826">
      <c r="C826" s="63"/>
    </row>
    <row r="827">
      <c r="C827" s="63"/>
    </row>
    <row r="828">
      <c r="C828" s="63"/>
    </row>
    <row r="829">
      <c r="C829" s="63"/>
    </row>
    <row r="830">
      <c r="C830" s="63"/>
    </row>
    <row r="831">
      <c r="C831" s="63"/>
    </row>
    <row r="832">
      <c r="C832" s="63"/>
    </row>
    <row r="833">
      <c r="C833" s="63"/>
    </row>
    <row r="834">
      <c r="C834" s="63"/>
    </row>
    <row r="835">
      <c r="C835" s="63"/>
    </row>
    <row r="836">
      <c r="C836" s="63"/>
    </row>
    <row r="837">
      <c r="C837" s="63"/>
    </row>
    <row r="838">
      <c r="C838" s="63"/>
    </row>
    <row r="839">
      <c r="C839" s="63"/>
    </row>
    <row r="840">
      <c r="C840" s="63"/>
    </row>
    <row r="841">
      <c r="C841" s="63"/>
    </row>
    <row r="842">
      <c r="C842" s="63"/>
    </row>
    <row r="843">
      <c r="C843" s="63"/>
    </row>
    <row r="844">
      <c r="C844" s="63"/>
    </row>
    <row r="845">
      <c r="C845" s="63"/>
    </row>
    <row r="846">
      <c r="C846" s="63"/>
    </row>
    <row r="847">
      <c r="C847" s="63"/>
    </row>
    <row r="848">
      <c r="C848" s="63"/>
    </row>
    <row r="849">
      <c r="C849" s="63"/>
    </row>
    <row r="850">
      <c r="C850" s="63"/>
    </row>
    <row r="851">
      <c r="C851" s="63"/>
    </row>
    <row r="852">
      <c r="C852" s="63"/>
    </row>
    <row r="853">
      <c r="C853" s="63"/>
    </row>
    <row r="854">
      <c r="C854" s="63"/>
    </row>
    <row r="855">
      <c r="C855" s="63"/>
    </row>
    <row r="856">
      <c r="C856" s="63"/>
    </row>
    <row r="857">
      <c r="C857" s="63"/>
    </row>
    <row r="858">
      <c r="C858" s="63"/>
    </row>
    <row r="859">
      <c r="C859" s="63"/>
    </row>
    <row r="860">
      <c r="C860" s="63"/>
    </row>
    <row r="861">
      <c r="C861" s="63"/>
    </row>
    <row r="862">
      <c r="C862" s="63"/>
    </row>
    <row r="863">
      <c r="C863" s="63"/>
    </row>
    <row r="864">
      <c r="C864" s="63"/>
    </row>
    <row r="865">
      <c r="C865" s="63"/>
    </row>
    <row r="866">
      <c r="C866" s="63"/>
    </row>
    <row r="867">
      <c r="C867" s="63"/>
    </row>
    <row r="868">
      <c r="C868" s="63"/>
    </row>
    <row r="869">
      <c r="C869" s="63"/>
    </row>
    <row r="870">
      <c r="C870" s="63"/>
    </row>
    <row r="871">
      <c r="C871" s="63"/>
    </row>
    <row r="872">
      <c r="C872" s="63"/>
    </row>
    <row r="873">
      <c r="C873" s="63"/>
    </row>
    <row r="874">
      <c r="C874" s="63"/>
    </row>
    <row r="875">
      <c r="C875" s="63"/>
    </row>
    <row r="876">
      <c r="C876" s="63"/>
    </row>
    <row r="877">
      <c r="C877" s="63"/>
    </row>
    <row r="878">
      <c r="C878" s="63"/>
    </row>
    <row r="879">
      <c r="C879" s="63"/>
    </row>
    <row r="880">
      <c r="C880" s="63"/>
    </row>
    <row r="881">
      <c r="C881" s="63"/>
    </row>
    <row r="882">
      <c r="C882" s="63"/>
    </row>
    <row r="883">
      <c r="C883" s="63"/>
    </row>
    <row r="884">
      <c r="C884" s="63"/>
    </row>
    <row r="885">
      <c r="C885" s="63"/>
    </row>
    <row r="886">
      <c r="C886" s="63"/>
    </row>
    <row r="887">
      <c r="C887" s="63"/>
    </row>
    <row r="888">
      <c r="C888" s="63"/>
    </row>
    <row r="889">
      <c r="C889" s="63"/>
    </row>
    <row r="890">
      <c r="C890" s="63"/>
    </row>
    <row r="891">
      <c r="C891" s="63"/>
    </row>
    <row r="892">
      <c r="C892" s="63"/>
    </row>
  </sheetData>
  <mergeCells count="6">
    <mergeCell ref="A2:A32"/>
    <mergeCell ref="B3:B9"/>
    <mergeCell ref="B10:B16"/>
    <mergeCell ref="B17:B23"/>
    <mergeCell ref="B24:B30"/>
    <mergeCell ref="B31:B3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5"/>
    <col customWidth="1" min="3" max="3" width="2.88"/>
    <col customWidth="1" min="4" max="4" width="7.5"/>
    <col customWidth="1" min="7" max="7" width="27.63"/>
    <col customWidth="1" min="8" max="8" width="56.63"/>
  </cols>
  <sheetData>
    <row r="1">
      <c r="A1" s="21" t="s">
        <v>76</v>
      </c>
      <c r="B1" s="12" t="s">
        <v>13</v>
      </c>
      <c r="C1" s="52"/>
      <c r="D1" s="14"/>
      <c r="E1" s="15" t="s">
        <v>5</v>
      </c>
      <c r="F1" s="15" t="s">
        <v>14</v>
      </c>
      <c r="G1" s="12" t="s">
        <v>15</v>
      </c>
      <c r="H1" s="12" t="s">
        <v>16</v>
      </c>
    </row>
    <row r="2">
      <c r="A2" s="53" t="s">
        <v>77</v>
      </c>
      <c r="B2" s="59">
        <v>5.0</v>
      </c>
      <c r="C2" s="46">
        <v>1.0</v>
      </c>
      <c r="D2" s="21" t="s">
        <v>37</v>
      </c>
      <c r="E2" s="47" t="s">
        <v>26</v>
      </c>
      <c r="F2" s="28"/>
      <c r="H2" s="46" t="s">
        <v>78</v>
      </c>
      <c r="J2" s="26"/>
      <c r="K2" s="21" t="s">
        <v>17</v>
      </c>
    </row>
    <row r="3">
      <c r="A3" s="22"/>
      <c r="C3" s="46">
        <v>2.0</v>
      </c>
      <c r="D3" s="21" t="s">
        <v>38</v>
      </c>
      <c r="E3" s="26"/>
      <c r="F3" s="66" t="s">
        <v>26</v>
      </c>
      <c r="J3" s="28"/>
      <c r="K3" s="21" t="s">
        <v>18</v>
      </c>
    </row>
    <row r="4">
      <c r="A4" s="22"/>
      <c r="C4" s="46">
        <v>3.0</v>
      </c>
      <c r="D4" s="21" t="s">
        <v>39</v>
      </c>
      <c r="E4" s="47" t="s">
        <v>26</v>
      </c>
    </row>
    <row r="5">
      <c r="A5" s="22"/>
      <c r="C5" s="46">
        <v>4.0</v>
      </c>
      <c r="D5" s="21" t="s">
        <v>41</v>
      </c>
      <c r="E5" s="26"/>
    </row>
    <row r="6">
      <c r="A6" s="22"/>
      <c r="B6" s="39"/>
      <c r="C6" s="57">
        <v>5.0</v>
      </c>
      <c r="D6" s="32" t="s">
        <v>42</v>
      </c>
      <c r="E6" s="58"/>
      <c r="F6" s="31"/>
      <c r="G6" s="31"/>
      <c r="H6" s="32"/>
    </row>
    <row r="7">
      <c r="A7" s="22"/>
      <c r="B7" s="59">
        <v>6.0</v>
      </c>
      <c r="C7" s="46">
        <v>6.0</v>
      </c>
      <c r="D7" s="21" t="s">
        <v>35</v>
      </c>
      <c r="E7" s="67"/>
      <c r="F7" s="47" t="s">
        <v>79</v>
      </c>
      <c r="H7" s="21"/>
    </row>
    <row r="8">
      <c r="A8" s="22"/>
      <c r="C8" s="46">
        <v>7.0</v>
      </c>
      <c r="D8" s="21" t="s">
        <v>36</v>
      </c>
      <c r="E8" s="67"/>
      <c r="F8" s="47" t="s">
        <v>80</v>
      </c>
      <c r="G8" s="21" t="s">
        <v>81</v>
      </c>
      <c r="H8" s="21"/>
    </row>
    <row r="9">
      <c r="A9" s="22"/>
      <c r="C9" s="46">
        <v>8.0</v>
      </c>
      <c r="D9" s="21" t="s">
        <v>37</v>
      </c>
      <c r="E9" s="66" t="s">
        <v>75</v>
      </c>
      <c r="F9" s="26"/>
      <c r="H9" s="21" t="s">
        <v>82</v>
      </c>
    </row>
    <row r="10">
      <c r="A10" s="22"/>
      <c r="C10" s="46">
        <v>9.0</v>
      </c>
      <c r="D10" s="21" t="s">
        <v>38</v>
      </c>
      <c r="E10" s="66" t="s">
        <v>75</v>
      </c>
      <c r="F10" s="26"/>
      <c r="H10" s="21" t="s">
        <v>82</v>
      </c>
    </row>
    <row r="11">
      <c r="A11" s="22"/>
      <c r="C11" s="46">
        <v>10.0</v>
      </c>
      <c r="D11" s="21" t="s">
        <v>39</v>
      </c>
      <c r="E11" s="26"/>
      <c r="F11" s="28"/>
    </row>
    <row r="12">
      <c r="A12" s="22"/>
      <c r="C12" s="46">
        <v>11.0</v>
      </c>
      <c r="D12" s="21" t="s">
        <v>41</v>
      </c>
      <c r="E12" s="26"/>
      <c r="F12" s="28"/>
    </row>
    <row r="13">
      <c r="A13" s="22"/>
      <c r="B13" s="39"/>
      <c r="C13" s="57">
        <v>12.0</v>
      </c>
      <c r="D13" s="32" t="s">
        <v>42</v>
      </c>
      <c r="E13" s="31"/>
      <c r="F13" s="58"/>
      <c r="G13" s="31"/>
      <c r="H13" s="31"/>
    </row>
    <row r="14">
      <c r="A14" s="22"/>
      <c r="B14" s="59">
        <v>7.0</v>
      </c>
      <c r="C14" s="46">
        <v>13.0</v>
      </c>
      <c r="D14" s="21" t="s">
        <v>35</v>
      </c>
      <c r="E14" s="28"/>
      <c r="F14" s="47" t="s">
        <v>80</v>
      </c>
    </row>
    <row r="15">
      <c r="A15" s="22"/>
      <c r="C15" s="46">
        <v>14.0</v>
      </c>
      <c r="D15" s="21" t="s">
        <v>36</v>
      </c>
      <c r="E15" s="28"/>
      <c r="F15" s="47" t="s">
        <v>80</v>
      </c>
    </row>
    <row r="16">
      <c r="A16" s="22"/>
      <c r="C16" s="46">
        <v>15.0</v>
      </c>
      <c r="D16" s="21" t="s">
        <v>37</v>
      </c>
      <c r="F16" s="47" t="s">
        <v>80</v>
      </c>
      <c r="G16" s="65" t="s">
        <v>81</v>
      </c>
      <c r="H16" s="46"/>
    </row>
    <row r="17">
      <c r="A17" s="22"/>
      <c r="C17" s="46">
        <v>16.0</v>
      </c>
      <c r="D17" s="21" t="s">
        <v>38</v>
      </c>
      <c r="E17" s="26"/>
      <c r="F17" s="28"/>
      <c r="H17" s="21" t="s">
        <v>83</v>
      </c>
    </row>
    <row r="18">
      <c r="A18" s="22"/>
      <c r="C18" s="46">
        <v>17.0</v>
      </c>
      <c r="D18" s="21" t="s">
        <v>39</v>
      </c>
      <c r="E18" s="47" t="s">
        <v>84</v>
      </c>
      <c r="F18" s="28"/>
      <c r="H18" s="21" t="s">
        <v>85</v>
      </c>
    </row>
    <row r="19">
      <c r="A19" s="22"/>
      <c r="C19" s="46">
        <v>18.0</v>
      </c>
      <c r="D19" s="21" t="s">
        <v>41</v>
      </c>
      <c r="E19" s="26"/>
      <c r="H19" s="21" t="s">
        <v>86</v>
      </c>
    </row>
    <row r="20">
      <c r="A20" s="22"/>
      <c r="B20" s="39"/>
      <c r="C20" s="57">
        <v>19.0</v>
      </c>
      <c r="D20" s="32" t="s">
        <v>42</v>
      </c>
      <c r="E20" s="58"/>
      <c r="F20" s="31"/>
      <c r="G20" s="31"/>
      <c r="H20" s="31"/>
    </row>
    <row r="21">
      <c r="A21" s="22"/>
      <c r="B21" s="59">
        <v>8.0</v>
      </c>
      <c r="C21" s="46">
        <v>20.0</v>
      </c>
      <c r="D21" s="21" t="s">
        <v>35</v>
      </c>
      <c r="E21" s="26"/>
      <c r="F21" s="28"/>
    </row>
    <row r="22">
      <c r="A22" s="22"/>
      <c r="C22" s="46">
        <v>21.0</v>
      </c>
      <c r="D22" s="21" t="s">
        <v>36</v>
      </c>
      <c r="E22" s="26"/>
      <c r="F22" s="28"/>
    </row>
    <row r="23">
      <c r="A23" s="22"/>
      <c r="C23" s="46">
        <v>22.0</v>
      </c>
      <c r="D23" s="21" t="s">
        <v>37</v>
      </c>
      <c r="E23" s="66" t="s">
        <v>63</v>
      </c>
      <c r="F23" s="47"/>
      <c r="G23" s="21" t="s">
        <v>87</v>
      </c>
      <c r="H23" s="21" t="s">
        <v>88</v>
      </c>
    </row>
    <row r="24">
      <c r="A24" s="22"/>
      <c r="C24" s="46">
        <v>23.0</v>
      </c>
      <c r="D24" s="21" t="s">
        <v>38</v>
      </c>
      <c r="E24" s="66" t="s">
        <v>63</v>
      </c>
      <c r="F24" s="47" t="s">
        <v>28</v>
      </c>
      <c r="G24" s="21" t="s">
        <v>87</v>
      </c>
      <c r="H24" s="21" t="s">
        <v>89</v>
      </c>
    </row>
    <row r="25">
      <c r="A25" s="22"/>
      <c r="C25" s="46">
        <v>24.0</v>
      </c>
      <c r="D25" s="21" t="s">
        <v>39</v>
      </c>
      <c r="E25" s="21" t="s">
        <v>63</v>
      </c>
      <c r="F25" s="47" t="s">
        <v>59</v>
      </c>
      <c r="G25" s="21" t="s">
        <v>87</v>
      </c>
      <c r="H25" s="21" t="s">
        <v>90</v>
      </c>
    </row>
    <row r="26">
      <c r="A26" s="22"/>
      <c r="C26" s="46">
        <v>25.0</v>
      </c>
      <c r="D26" s="21" t="s">
        <v>41</v>
      </c>
      <c r="F26" s="26"/>
      <c r="G26" s="21" t="s">
        <v>87</v>
      </c>
      <c r="H26" s="21" t="s">
        <v>89</v>
      </c>
    </row>
    <row r="27">
      <c r="A27" s="22"/>
      <c r="B27" s="39"/>
      <c r="C27" s="57">
        <v>26.0</v>
      </c>
      <c r="D27" s="32" t="s">
        <v>42</v>
      </c>
      <c r="E27" s="32"/>
      <c r="F27" s="58"/>
      <c r="G27" s="32" t="s">
        <v>87</v>
      </c>
      <c r="H27" s="32" t="s">
        <v>91</v>
      </c>
    </row>
    <row r="28">
      <c r="A28" s="22"/>
      <c r="B28" s="59">
        <v>9.0</v>
      </c>
      <c r="C28" s="46">
        <v>27.0</v>
      </c>
      <c r="D28" s="21" t="s">
        <v>35</v>
      </c>
      <c r="E28" s="26"/>
    </row>
    <row r="29">
      <c r="A29" s="22"/>
      <c r="C29" s="46">
        <v>28.0</v>
      </c>
      <c r="D29" s="21" t="s">
        <v>36</v>
      </c>
      <c r="E29" s="26"/>
    </row>
  </sheetData>
  <mergeCells count="6">
    <mergeCell ref="A2:A29"/>
    <mergeCell ref="B2:B6"/>
    <mergeCell ref="B7:B13"/>
    <mergeCell ref="B14:B20"/>
    <mergeCell ref="B21:B27"/>
    <mergeCell ref="B28:B29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5"/>
    <col customWidth="1" min="3" max="3" width="2.88"/>
    <col customWidth="1" min="4" max="4" width="7.5"/>
    <col customWidth="1" min="7" max="7" width="16.0"/>
    <col customWidth="1" min="8" max="8" width="18.38"/>
  </cols>
  <sheetData>
    <row r="1">
      <c r="A1" s="21">
        <v>456.0</v>
      </c>
      <c r="B1" s="12" t="s">
        <v>13</v>
      </c>
      <c r="C1" s="63"/>
      <c r="E1" s="68" t="s">
        <v>5</v>
      </c>
      <c r="F1" s="68" t="s">
        <v>14</v>
      </c>
      <c r="G1" s="21" t="s">
        <v>15</v>
      </c>
      <c r="H1" s="21" t="s">
        <v>16</v>
      </c>
    </row>
    <row r="2">
      <c r="A2" s="53" t="s">
        <v>92</v>
      </c>
      <c r="B2" s="59">
        <v>9.0</v>
      </c>
      <c r="C2" s="69">
        <v>1.0</v>
      </c>
      <c r="D2" s="70" t="s">
        <v>37</v>
      </c>
      <c r="E2" s="71"/>
      <c r="F2" s="72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</row>
    <row r="3">
      <c r="A3" s="22"/>
      <c r="C3" s="46">
        <v>2.0</v>
      </c>
      <c r="D3" s="21" t="s">
        <v>38</v>
      </c>
      <c r="F3" s="26"/>
      <c r="K3" s="26"/>
      <c r="L3" s="21" t="s">
        <v>17</v>
      </c>
    </row>
    <row r="4">
      <c r="A4" s="22"/>
      <c r="C4" s="46">
        <v>3.0</v>
      </c>
      <c r="D4" s="21" t="s">
        <v>39</v>
      </c>
      <c r="E4" s="26"/>
      <c r="H4" s="21" t="s">
        <v>93</v>
      </c>
      <c r="K4" s="28"/>
      <c r="L4" s="21" t="s">
        <v>18</v>
      </c>
    </row>
    <row r="5">
      <c r="A5" s="22"/>
      <c r="C5" s="46">
        <v>4.0</v>
      </c>
      <c r="D5" s="21" t="s">
        <v>41</v>
      </c>
      <c r="E5" s="26"/>
      <c r="H5" s="21" t="s">
        <v>93</v>
      </c>
    </row>
    <row r="6">
      <c r="A6" s="22"/>
      <c r="B6" s="39"/>
      <c r="C6" s="57">
        <v>5.0</v>
      </c>
      <c r="D6" s="32" t="s">
        <v>42</v>
      </c>
      <c r="E6" s="58"/>
      <c r="F6" s="31"/>
      <c r="G6" s="32"/>
      <c r="H6" s="32" t="s">
        <v>93</v>
      </c>
    </row>
    <row r="7">
      <c r="A7" s="22"/>
      <c r="B7" s="59">
        <v>10.0</v>
      </c>
      <c r="C7" s="46">
        <v>6.0</v>
      </c>
      <c r="D7" s="21" t="s">
        <v>35</v>
      </c>
      <c r="F7" s="26"/>
    </row>
    <row r="8">
      <c r="A8" s="22"/>
      <c r="C8" s="46">
        <v>7.0</v>
      </c>
      <c r="D8" s="21" t="s">
        <v>36</v>
      </c>
      <c r="F8" s="26"/>
    </row>
    <row r="9">
      <c r="A9" s="22"/>
      <c r="C9" s="46">
        <v>8.0</v>
      </c>
      <c r="D9" s="21" t="s">
        <v>37</v>
      </c>
      <c r="E9" s="26"/>
      <c r="G9" s="21" t="s">
        <v>81</v>
      </c>
      <c r="H9" s="21" t="s">
        <v>94</v>
      </c>
    </row>
    <row r="10">
      <c r="A10" s="22"/>
      <c r="C10" s="46">
        <v>9.0</v>
      </c>
      <c r="D10" s="21" t="s">
        <v>38</v>
      </c>
      <c r="E10" s="26"/>
    </row>
    <row r="11">
      <c r="A11" s="22"/>
      <c r="C11" s="46">
        <v>10.0</v>
      </c>
      <c r="D11" s="21" t="s">
        <v>39</v>
      </c>
      <c r="F11" s="26"/>
    </row>
    <row r="12">
      <c r="A12" s="22"/>
      <c r="C12" s="46">
        <v>11.0</v>
      </c>
      <c r="D12" s="21" t="s">
        <v>41</v>
      </c>
      <c r="F12" s="26"/>
    </row>
    <row r="13">
      <c r="A13" s="22"/>
      <c r="B13" s="39"/>
      <c r="C13" s="57">
        <v>12.0</v>
      </c>
      <c r="D13" s="32" t="s">
        <v>42</v>
      </c>
      <c r="E13" s="31"/>
      <c r="F13" s="58"/>
      <c r="G13" s="31"/>
      <c r="H13" s="31"/>
    </row>
    <row r="14">
      <c r="A14" s="22"/>
      <c r="B14" s="59">
        <v>11.0</v>
      </c>
      <c r="C14" s="46">
        <v>13.0</v>
      </c>
      <c r="D14" s="21" t="s">
        <v>35</v>
      </c>
      <c r="E14" s="26"/>
      <c r="H14" s="21"/>
    </row>
    <row r="15">
      <c r="A15" s="22"/>
      <c r="C15" s="46">
        <v>14.0</v>
      </c>
      <c r="D15" s="21" t="s">
        <v>36</v>
      </c>
      <c r="E15" s="26"/>
    </row>
    <row r="16">
      <c r="A16" s="22"/>
      <c r="C16" s="46">
        <v>15.0</v>
      </c>
      <c r="D16" s="21" t="s">
        <v>37</v>
      </c>
      <c r="F16" s="26"/>
    </row>
    <row r="17">
      <c r="A17" s="22"/>
      <c r="C17" s="46">
        <v>16.0</v>
      </c>
      <c r="D17" s="21" t="s">
        <v>38</v>
      </c>
      <c r="F17" s="26"/>
    </row>
    <row r="18">
      <c r="A18" s="22"/>
      <c r="C18" s="46">
        <v>17.0</v>
      </c>
      <c r="D18" s="21" t="s">
        <v>39</v>
      </c>
      <c r="E18" s="26"/>
      <c r="G18" s="21"/>
      <c r="H18" s="21"/>
    </row>
    <row r="19">
      <c r="A19" s="22"/>
      <c r="C19" s="46">
        <v>18.0</v>
      </c>
      <c r="D19" s="21" t="s">
        <v>41</v>
      </c>
      <c r="E19" s="26"/>
      <c r="H19" s="21"/>
    </row>
    <row r="20">
      <c r="A20" s="22"/>
      <c r="B20" s="39"/>
      <c r="C20" s="57">
        <v>19.0</v>
      </c>
      <c r="D20" s="32" t="s">
        <v>42</v>
      </c>
      <c r="E20" s="58"/>
      <c r="F20" s="31"/>
      <c r="G20" s="31"/>
      <c r="H20" s="32"/>
    </row>
    <row r="21">
      <c r="A21" s="22"/>
      <c r="B21" s="59">
        <v>12.0</v>
      </c>
      <c r="C21" s="46">
        <v>20.0</v>
      </c>
      <c r="D21" s="1" t="s">
        <v>35</v>
      </c>
      <c r="E21" s="21" t="s">
        <v>26</v>
      </c>
      <c r="F21" s="47" t="s">
        <v>28</v>
      </c>
    </row>
    <row r="22">
      <c r="A22" s="22"/>
      <c r="C22" s="46">
        <v>21.0</v>
      </c>
      <c r="D22" s="1" t="s">
        <v>36</v>
      </c>
      <c r="F22" s="47" t="s">
        <v>26</v>
      </c>
    </row>
    <row r="23">
      <c r="A23" s="22"/>
      <c r="C23" s="46">
        <v>22.0</v>
      </c>
      <c r="D23" s="1" t="s">
        <v>37</v>
      </c>
      <c r="E23" s="26"/>
      <c r="H23" s="21" t="s">
        <v>94</v>
      </c>
    </row>
    <row r="24">
      <c r="A24" s="22"/>
      <c r="C24" s="46">
        <v>23.0</v>
      </c>
      <c r="D24" s="1" t="s">
        <v>38</v>
      </c>
      <c r="E24" s="47" t="s">
        <v>26</v>
      </c>
    </row>
    <row r="25">
      <c r="A25" s="22"/>
      <c r="C25" s="46">
        <v>24.0</v>
      </c>
      <c r="D25" s="1" t="s">
        <v>39</v>
      </c>
      <c r="E25" s="21" t="s">
        <v>26</v>
      </c>
      <c r="F25" s="26"/>
    </row>
    <row r="26">
      <c r="A26" s="22"/>
      <c r="C26" s="46">
        <v>25.0</v>
      </c>
      <c r="D26" s="1" t="s">
        <v>41</v>
      </c>
      <c r="F26" s="26"/>
    </row>
    <row r="27">
      <c r="A27" s="22"/>
      <c r="B27" s="39"/>
      <c r="C27" s="46">
        <v>26.0</v>
      </c>
      <c r="D27" s="1" t="s">
        <v>42</v>
      </c>
      <c r="F27" s="26"/>
    </row>
    <row r="28">
      <c r="A28" s="22"/>
      <c r="B28" s="34">
        <v>13.0</v>
      </c>
      <c r="C28" s="73">
        <v>27.0</v>
      </c>
      <c r="D28" s="74" t="s">
        <v>35</v>
      </c>
      <c r="E28" s="75"/>
      <c r="F28" s="20"/>
      <c r="G28" s="20"/>
      <c r="H28" s="20"/>
    </row>
    <row r="29">
      <c r="A29" s="22"/>
      <c r="C29" s="46">
        <v>28.0</v>
      </c>
      <c r="D29" s="1" t="s">
        <v>36</v>
      </c>
      <c r="E29" s="26"/>
    </row>
    <row r="30">
      <c r="A30" s="22"/>
      <c r="C30" s="46">
        <v>29.0</v>
      </c>
      <c r="D30" s="1" t="s">
        <v>37</v>
      </c>
      <c r="F30" s="26"/>
    </row>
    <row r="31">
      <c r="A31" s="22"/>
      <c r="C31" s="46">
        <v>30.0</v>
      </c>
      <c r="D31" s="1" t="s">
        <v>38</v>
      </c>
      <c r="F31" s="26"/>
    </row>
    <row r="32">
      <c r="A32" s="22"/>
      <c r="C32" s="46">
        <v>31.0</v>
      </c>
      <c r="D32" s="1" t="s">
        <v>39</v>
      </c>
      <c r="E32" s="26"/>
      <c r="H32" s="21" t="s">
        <v>95</v>
      </c>
    </row>
  </sheetData>
  <mergeCells count="6">
    <mergeCell ref="A2:A32"/>
    <mergeCell ref="B2:B6"/>
    <mergeCell ref="B7:B13"/>
    <mergeCell ref="B14:B20"/>
    <mergeCell ref="B21:B27"/>
    <mergeCell ref="B28:B3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5"/>
    <col customWidth="1" min="3" max="3" width="2.88"/>
    <col customWidth="1" min="4" max="4" width="7.5"/>
    <col customWidth="1" min="8" max="8" width="20.88"/>
    <col customWidth="1" min="9" max="9" width="38.0"/>
  </cols>
  <sheetData>
    <row r="1">
      <c r="B1" s="12" t="s">
        <v>13</v>
      </c>
      <c r="C1" s="52"/>
      <c r="D1" s="14"/>
      <c r="E1" s="15" t="s">
        <v>5</v>
      </c>
      <c r="F1" s="15" t="s">
        <v>14</v>
      </c>
      <c r="G1" s="12"/>
      <c r="H1" s="12" t="s">
        <v>15</v>
      </c>
      <c r="I1" s="12" t="s">
        <v>16</v>
      </c>
    </row>
    <row r="2">
      <c r="A2" s="53" t="s">
        <v>96</v>
      </c>
      <c r="B2" s="59">
        <v>13.0</v>
      </c>
      <c r="C2" s="46">
        <v>1.0</v>
      </c>
      <c r="D2" s="21" t="s">
        <v>41</v>
      </c>
      <c r="E2" s="26"/>
      <c r="I2" s="21" t="s">
        <v>97</v>
      </c>
      <c r="K2" s="26"/>
      <c r="L2" s="21" t="s">
        <v>17</v>
      </c>
    </row>
    <row r="3">
      <c r="A3" s="22"/>
      <c r="B3" s="39"/>
      <c r="C3" s="57">
        <v>2.0</v>
      </c>
      <c r="D3" s="32" t="s">
        <v>42</v>
      </c>
      <c r="E3" s="58"/>
      <c r="F3" s="31"/>
      <c r="G3" s="31"/>
      <c r="H3" s="31"/>
      <c r="I3" s="21" t="s">
        <v>95</v>
      </c>
      <c r="K3" s="28"/>
      <c r="L3" s="21" t="s">
        <v>18</v>
      </c>
    </row>
    <row r="4">
      <c r="A4" s="22"/>
      <c r="B4" s="59">
        <v>14.0</v>
      </c>
      <c r="C4" s="46">
        <v>3.0</v>
      </c>
      <c r="D4" s="21" t="s">
        <v>35</v>
      </c>
      <c r="E4" s="26"/>
      <c r="F4" s="28"/>
    </row>
    <row r="5">
      <c r="A5" s="22"/>
      <c r="C5" s="46">
        <v>4.0</v>
      </c>
      <c r="D5" s="21" t="s">
        <v>36</v>
      </c>
      <c r="E5" s="26"/>
      <c r="F5" s="28"/>
    </row>
    <row r="6">
      <c r="A6" s="22"/>
      <c r="C6" s="46">
        <v>5.0</v>
      </c>
      <c r="D6" s="21" t="s">
        <v>37</v>
      </c>
      <c r="E6" s="66" t="s">
        <v>63</v>
      </c>
      <c r="F6" s="26"/>
      <c r="H6" s="21" t="s">
        <v>22</v>
      </c>
    </row>
    <row r="7">
      <c r="A7" s="22"/>
      <c r="C7" s="46">
        <v>6.0</v>
      </c>
      <c r="D7" s="21" t="s">
        <v>38</v>
      </c>
      <c r="E7" s="66" t="s">
        <v>63</v>
      </c>
      <c r="F7" s="47" t="s">
        <v>59</v>
      </c>
      <c r="H7" s="21" t="s">
        <v>22</v>
      </c>
    </row>
    <row r="8">
      <c r="A8" s="22"/>
      <c r="C8" s="51">
        <v>7.0</v>
      </c>
      <c r="D8" s="60" t="s">
        <v>39</v>
      </c>
      <c r="F8" s="26"/>
      <c r="G8" s="60" t="s">
        <v>98</v>
      </c>
      <c r="H8" s="21" t="s">
        <v>22</v>
      </c>
    </row>
    <row r="9">
      <c r="A9" s="22"/>
      <c r="C9" s="46">
        <v>8.0</v>
      </c>
      <c r="D9" s="21" t="s">
        <v>41</v>
      </c>
      <c r="F9" s="26"/>
      <c r="G9" s="21" t="s">
        <v>99</v>
      </c>
      <c r="H9" s="21" t="s">
        <v>22</v>
      </c>
    </row>
    <row r="10">
      <c r="A10" s="22"/>
      <c r="B10" s="39"/>
      <c r="C10" s="57">
        <v>9.0</v>
      </c>
      <c r="D10" s="32" t="s">
        <v>42</v>
      </c>
      <c r="E10" s="32"/>
      <c r="F10" s="58"/>
      <c r="G10" s="32" t="s">
        <v>100</v>
      </c>
      <c r="H10" s="32" t="s">
        <v>22</v>
      </c>
    </row>
    <row r="11">
      <c r="A11" s="22"/>
      <c r="B11" s="59">
        <v>15.0</v>
      </c>
      <c r="C11" s="51">
        <v>10.0</v>
      </c>
      <c r="D11" s="60" t="s">
        <v>35</v>
      </c>
      <c r="E11" s="66"/>
      <c r="F11" s="26"/>
      <c r="G11" s="21" t="s">
        <v>21</v>
      </c>
      <c r="H11" s="21" t="s">
        <v>22</v>
      </c>
    </row>
    <row r="12">
      <c r="A12" s="22"/>
      <c r="C12" s="46">
        <v>11.0</v>
      </c>
      <c r="D12" s="21" t="s">
        <v>36</v>
      </c>
      <c r="E12" s="66" t="s">
        <v>63</v>
      </c>
      <c r="F12" s="26"/>
      <c r="H12" s="21" t="s">
        <v>22</v>
      </c>
    </row>
    <row r="13">
      <c r="A13" s="22"/>
      <c r="C13" s="46">
        <v>12.0</v>
      </c>
      <c r="D13" s="21" t="s">
        <v>37</v>
      </c>
      <c r="E13" s="26"/>
      <c r="F13" s="28"/>
    </row>
    <row r="14">
      <c r="A14" s="22"/>
      <c r="C14" s="46">
        <v>13.0</v>
      </c>
      <c r="D14" s="21" t="s">
        <v>38</v>
      </c>
      <c r="E14" s="26"/>
      <c r="F14" s="66"/>
      <c r="I14" s="21" t="s">
        <v>101</v>
      </c>
    </row>
    <row r="15">
      <c r="A15" s="22"/>
      <c r="C15" s="46">
        <v>14.0</v>
      </c>
      <c r="D15" s="21" t="s">
        <v>39</v>
      </c>
      <c r="E15" s="26"/>
      <c r="F15" s="21"/>
      <c r="I15" s="21" t="s">
        <v>93</v>
      </c>
    </row>
    <row r="16">
      <c r="A16" s="22"/>
      <c r="C16" s="46">
        <v>15.0</v>
      </c>
      <c r="D16" s="21" t="s">
        <v>41</v>
      </c>
      <c r="E16" s="26"/>
      <c r="F16" s="21"/>
      <c r="I16" s="21" t="s">
        <v>101</v>
      </c>
    </row>
    <row r="17">
      <c r="A17" s="22"/>
      <c r="B17" s="39"/>
      <c r="C17" s="57">
        <v>16.0</v>
      </c>
      <c r="D17" s="32" t="s">
        <v>42</v>
      </c>
      <c r="E17" s="58"/>
      <c r="F17" s="32"/>
      <c r="G17" s="32"/>
      <c r="H17" s="32"/>
      <c r="I17" s="32" t="s">
        <v>102</v>
      </c>
    </row>
    <row r="18">
      <c r="A18" s="22"/>
      <c r="B18" s="59">
        <v>16.0</v>
      </c>
      <c r="C18" s="46">
        <v>17.0</v>
      </c>
      <c r="D18" s="1" t="s">
        <v>35</v>
      </c>
      <c r="F18" s="47" t="s">
        <v>28</v>
      </c>
    </row>
    <row r="19">
      <c r="A19" s="22"/>
      <c r="C19" s="46">
        <v>18.0</v>
      </c>
      <c r="D19" s="1" t="s">
        <v>36</v>
      </c>
      <c r="F19" s="26"/>
    </row>
    <row r="20">
      <c r="A20" s="22"/>
      <c r="C20" s="46">
        <v>19.0</v>
      </c>
      <c r="D20" s="1" t="s">
        <v>37</v>
      </c>
      <c r="E20" s="26"/>
    </row>
    <row r="21">
      <c r="A21" s="22"/>
      <c r="C21" s="46">
        <v>20.0</v>
      </c>
      <c r="D21" s="1" t="s">
        <v>38</v>
      </c>
      <c r="E21" s="26"/>
      <c r="I21" s="21"/>
    </row>
    <row r="22">
      <c r="A22" s="22"/>
      <c r="C22" s="46">
        <v>21.0</v>
      </c>
      <c r="D22" s="1" t="s">
        <v>39</v>
      </c>
      <c r="F22" s="26"/>
    </row>
    <row r="23">
      <c r="A23" s="22"/>
      <c r="C23" s="46">
        <v>22.0</v>
      </c>
      <c r="D23" s="1" t="s">
        <v>41</v>
      </c>
      <c r="F23" s="26"/>
    </row>
    <row r="24">
      <c r="A24" s="22"/>
      <c r="B24" s="39"/>
      <c r="C24" s="57">
        <v>23.0</v>
      </c>
      <c r="D24" s="76" t="s">
        <v>42</v>
      </c>
      <c r="E24" s="31"/>
      <c r="F24" s="58"/>
      <c r="G24" s="31"/>
      <c r="H24" s="31"/>
      <c r="I24" s="31"/>
    </row>
    <row r="25">
      <c r="A25" s="22"/>
      <c r="B25" s="59">
        <v>17.0</v>
      </c>
      <c r="C25" s="46">
        <v>24.0</v>
      </c>
      <c r="D25" s="1" t="s">
        <v>64</v>
      </c>
      <c r="E25" s="26"/>
    </row>
    <row r="26">
      <c r="A26" s="22"/>
      <c r="C26" s="46">
        <v>25.0</v>
      </c>
      <c r="D26" s="1" t="s">
        <v>65</v>
      </c>
      <c r="E26" s="26"/>
    </row>
    <row r="27">
      <c r="A27" s="22"/>
      <c r="C27" s="46">
        <v>26.0</v>
      </c>
      <c r="D27" s="1" t="s">
        <v>66</v>
      </c>
      <c r="F27" s="26"/>
    </row>
    <row r="28">
      <c r="A28" s="22"/>
      <c r="C28" s="46">
        <v>27.0</v>
      </c>
      <c r="D28" s="1" t="s">
        <v>68</v>
      </c>
      <c r="F28" s="26"/>
    </row>
    <row r="29">
      <c r="A29" s="22"/>
      <c r="C29" s="46">
        <v>28.0</v>
      </c>
      <c r="D29" s="1" t="s">
        <v>69</v>
      </c>
      <c r="E29" s="26"/>
    </row>
    <row r="30">
      <c r="A30" s="22"/>
      <c r="C30" s="46">
        <v>29.0</v>
      </c>
      <c r="D30" s="1" t="s">
        <v>70</v>
      </c>
      <c r="E30" s="26"/>
    </row>
    <row r="31">
      <c r="A31" s="22"/>
      <c r="C31" s="46">
        <v>30.0</v>
      </c>
      <c r="D31" s="1" t="s">
        <v>103</v>
      </c>
      <c r="E31" s="26"/>
    </row>
    <row r="32">
      <c r="C32" s="46"/>
      <c r="D32" s="1"/>
    </row>
  </sheetData>
  <mergeCells count="6">
    <mergeCell ref="A2:A31"/>
    <mergeCell ref="B2:B3"/>
    <mergeCell ref="B4:B10"/>
    <mergeCell ref="B11:B17"/>
    <mergeCell ref="B18:B24"/>
    <mergeCell ref="B25:B3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5"/>
    <col customWidth="1" min="3" max="3" width="2.88"/>
    <col customWidth="1" min="4" max="4" width="7.5"/>
    <col customWidth="1" min="7" max="7" width="34.25"/>
    <col customWidth="1" min="8" max="8" width="59.5"/>
  </cols>
  <sheetData>
    <row r="1">
      <c r="B1" s="12" t="s">
        <v>13</v>
      </c>
      <c r="C1" s="13"/>
      <c r="D1" s="14"/>
      <c r="E1" s="15" t="s">
        <v>5</v>
      </c>
      <c r="F1" s="15" t="s">
        <v>14</v>
      </c>
      <c r="G1" s="12" t="s">
        <v>15</v>
      </c>
      <c r="H1" s="12" t="s">
        <v>16</v>
      </c>
    </row>
    <row r="2">
      <c r="A2" s="53" t="s">
        <v>104</v>
      </c>
      <c r="B2" s="59">
        <v>18.0</v>
      </c>
      <c r="C2" s="77">
        <v>45047.0</v>
      </c>
      <c r="D2" s="60" t="s">
        <v>35</v>
      </c>
      <c r="F2" s="26"/>
      <c r="H2" s="21" t="s">
        <v>105</v>
      </c>
      <c r="K2" s="26"/>
      <c r="L2" s="21" t="s">
        <v>17</v>
      </c>
    </row>
    <row r="3">
      <c r="A3" s="22"/>
      <c r="C3" s="18">
        <v>45048.0</v>
      </c>
      <c r="D3" s="21" t="s">
        <v>36</v>
      </c>
      <c r="F3" s="26"/>
      <c r="K3" s="28"/>
      <c r="L3" s="21" t="s">
        <v>18</v>
      </c>
    </row>
    <row r="4">
      <c r="A4" s="22"/>
      <c r="C4" s="18">
        <v>45049.0</v>
      </c>
      <c r="D4" s="21" t="s">
        <v>37</v>
      </c>
      <c r="E4" s="26"/>
    </row>
    <row r="5">
      <c r="A5" s="22"/>
      <c r="C5" s="18">
        <v>45050.0</v>
      </c>
      <c r="D5" s="21" t="s">
        <v>38</v>
      </c>
      <c r="E5" s="26"/>
    </row>
    <row r="6">
      <c r="A6" s="22"/>
      <c r="C6" s="18">
        <v>45051.0</v>
      </c>
      <c r="D6" s="56" t="s">
        <v>39</v>
      </c>
      <c r="F6" s="26"/>
    </row>
    <row r="7">
      <c r="A7" s="22"/>
      <c r="C7" s="18">
        <v>45052.0</v>
      </c>
      <c r="D7" s="21" t="s">
        <v>41</v>
      </c>
      <c r="F7" s="26"/>
      <c r="G7" s="21" t="s">
        <v>106</v>
      </c>
    </row>
    <row r="8">
      <c r="A8" s="22"/>
      <c r="B8" s="39"/>
      <c r="C8" s="18">
        <v>45053.0</v>
      </c>
      <c r="D8" s="32" t="s">
        <v>42</v>
      </c>
      <c r="E8" s="31"/>
      <c r="F8" s="58"/>
      <c r="G8" s="32" t="s">
        <v>106</v>
      </c>
      <c r="H8" s="31"/>
    </row>
    <row r="9">
      <c r="A9" s="22"/>
      <c r="B9" s="34">
        <v>19.0</v>
      </c>
      <c r="C9" s="35">
        <v>45054.0</v>
      </c>
      <c r="D9" s="78" t="s">
        <v>35</v>
      </c>
      <c r="E9" s="28"/>
      <c r="F9" s="79" t="s">
        <v>84</v>
      </c>
      <c r="G9" s="20"/>
      <c r="H9" s="80" t="s">
        <v>107</v>
      </c>
    </row>
    <row r="10">
      <c r="A10" s="22"/>
      <c r="C10" s="18">
        <v>45055.0</v>
      </c>
      <c r="D10" s="21" t="s">
        <v>36</v>
      </c>
      <c r="E10" s="26"/>
    </row>
    <row r="11">
      <c r="A11" s="22"/>
      <c r="C11" s="18">
        <v>45056.0</v>
      </c>
      <c r="D11" s="21" t="s">
        <v>37</v>
      </c>
      <c r="E11" s="67"/>
      <c r="F11" s="26"/>
    </row>
    <row r="12">
      <c r="A12" s="22"/>
      <c r="C12" s="18">
        <v>45057.0</v>
      </c>
      <c r="D12" s="21" t="s">
        <v>38</v>
      </c>
      <c r="F12" s="26"/>
    </row>
    <row r="13">
      <c r="A13" s="22"/>
      <c r="C13" s="18">
        <v>45058.0</v>
      </c>
      <c r="D13" s="21" t="s">
        <v>39</v>
      </c>
      <c r="E13" s="26"/>
      <c r="F13" s="67"/>
    </row>
    <row r="14">
      <c r="A14" s="22"/>
      <c r="C14" s="18">
        <v>45059.0</v>
      </c>
      <c r="D14" s="21" t="s">
        <v>41</v>
      </c>
      <c r="E14" s="26"/>
    </row>
    <row r="15">
      <c r="A15" s="22"/>
      <c r="B15" s="39"/>
      <c r="C15" s="18">
        <v>45060.0</v>
      </c>
      <c r="D15" s="32" t="s">
        <v>42</v>
      </c>
      <c r="E15" s="58"/>
      <c r="F15" s="31"/>
      <c r="G15" s="31"/>
      <c r="H15" s="31"/>
    </row>
    <row r="16">
      <c r="A16" s="22"/>
      <c r="B16" s="59">
        <v>20.0</v>
      </c>
      <c r="C16" s="35">
        <v>45061.0</v>
      </c>
      <c r="D16" s="56" t="s">
        <v>64</v>
      </c>
      <c r="F16" s="26"/>
    </row>
    <row r="17">
      <c r="A17" s="22"/>
      <c r="C17" s="46">
        <v>16.0</v>
      </c>
      <c r="D17" s="21" t="s">
        <v>65</v>
      </c>
      <c r="F17" s="47" t="s">
        <v>28</v>
      </c>
      <c r="G17" s="21" t="s">
        <v>108</v>
      </c>
    </row>
    <row r="18">
      <c r="A18" s="22"/>
      <c r="C18" s="46">
        <v>17.0</v>
      </c>
      <c r="D18" s="21" t="s">
        <v>66</v>
      </c>
      <c r="E18" s="26"/>
      <c r="G18" s="21" t="s">
        <v>106</v>
      </c>
    </row>
    <row r="19">
      <c r="A19" s="22"/>
      <c r="C19" s="51">
        <v>18.0</v>
      </c>
      <c r="D19" s="60" t="s">
        <v>68</v>
      </c>
      <c r="E19" s="26"/>
      <c r="G19" s="21" t="s">
        <v>106</v>
      </c>
    </row>
    <row r="20">
      <c r="A20" s="22"/>
      <c r="C20" s="46">
        <v>19.0</v>
      </c>
      <c r="D20" s="21" t="s">
        <v>69</v>
      </c>
      <c r="E20" s="26"/>
      <c r="F20" s="28"/>
      <c r="G20" s="21" t="s">
        <v>106</v>
      </c>
    </row>
    <row r="21">
      <c r="A21" s="22"/>
      <c r="C21" s="46">
        <v>20.0</v>
      </c>
      <c r="D21" s="21" t="s">
        <v>70</v>
      </c>
      <c r="F21" s="26"/>
    </row>
    <row r="22">
      <c r="A22" s="22"/>
      <c r="B22" s="39"/>
      <c r="C22" s="46">
        <v>21.0</v>
      </c>
      <c r="D22" s="32" t="s">
        <v>103</v>
      </c>
      <c r="E22" s="31"/>
      <c r="F22" s="58"/>
      <c r="G22" s="31"/>
      <c r="H22" s="31"/>
    </row>
    <row r="23">
      <c r="A23" s="22"/>
      <c r="B23" s="34">
        <v>21.0</v>
      </c>
      <c r="C23" s="35">
        <v>45068.0</v>
      </c>
      <c r="D23" s="78" t="s">
        <v>64</v>
      </c>
      <c r="E23" s="75"/>
      <c r="F23" s="20"/>
      <c r="G23" s="20"/>
      <c r="H23" s="20"/>
    </row>
    <row r="24">
      <c r="A24" s="22"/>
      <c r="C24" s="18">
        <v>45069.0</v>
      </c>
      <c r="D24" s="21" t="s">
        <v>65</v>
      </c>
      <c r="E24" s="26"/>
      <c r="H24" s="21" t="s">
        <v>108</v>
      </c>
    </row>
    <row r="25">
      <c r="A25" s="22"/>
      <c r="C25" s="18">
        <v>45070.0</v>
      </c>
      <c r="D25" s="21" t="s">
        <v>66</v>
      </c>
      <c r="F25" s="26"/>
    </row>
    <row r="26">
      <c r="A26" s="22"/>
      <c r="C26" s="18">
        <v>45071.0</v>
      </c>
      <c r="D26" s="21" t="s">
        <v>68</v>
      </c>
      <c r="F26" s="26"/>
    </row>
    <row r="27">
      <c r="A27" s="22"/>
      <c r="C27" s="18">
        <v>45072.0</v>
      </c>
      <c r="D27" s="21" t="s">
        <v>69</v>
      </c>
      <c r="E27" s="26"/>
    </row>
    <row r="28">
      <c r="A28" s="22"/>
      <c r="C28" s="18">
        <v>45073.0</v>
      </c>
      <c r="D28" s="21" t="s">
        <v>70</v>
      </c>
      <c r="E28" s="26"/>
    </row>
    <row r="29">
      <c r="A29" s="22"/>
      <c r="B29" s="39"/>
      <c r="C29" s="18">
        <v>45074.0</v>
      </c>
      <c r="D29" s="32" t="s">
        <v>103</v>
      </c>
      <c r="E29" s="81"/>
      <c r="F29" s="58"/>
      <c r="G29" s="31"/>
      <c r="H29" s="32" t="s">
        <v>109</v>
      </c>
    </row>
    <row r="30">
      <c r="A30" s="22"/>
      <c r="B30" s="59">
        <v>22.0</v>
      </c>
      <c r="C30" s="35">
        <v>45075.0</v>
      </c>
      <c r="D30" s="56" t="s">
        <v>64</v>
      </c>
      <c r="F30" s="26"/>
    </row>
    <row r="31">
      <c r="A31" s="22"/>
      <c r="C31" s="18">
        <v>45076.0</v>
      </c>
      <c r="D31" s="21" t="s">
        <v>65</v>
      </c>
      <c r="F31" s="26"/>
    </row>
    <row r="32">
      <c r="A32" s="22"/>
      <c r="C32" s="18">
        <v>45077.0</v>
      </c>
      <c r="D32" s="21" t="s">
        <v>66</v>
      </c>
      <c r="E32" s="26"/>
    </row>
  </sheetData>
  <mergeCells count="6">
    <mergeCell ref="A2:A32"/>
    <mergeCell ref="B2:B8"/>
    <mergeCell ref="B9:B15"/>
    <mergeCell ref="B16:B22"/>
    <mergeCell ref="B23:B29"/>
    <mergeCell ref="B30:B32"/>
  </mergeCells>
  <conditionalFormatting sqref="C2:C32">
    <cfRule type="timePeriod" dxfId="2" priority="1" timePeriod="today"/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5"/>
    <col customWidth="1" min="3" max="3" width="2.88"/>
    <col customWidth="1" min="4" max="4" width="7.5"/>
    <col customWidth="1" min="7" max="8" width="13.38"/>
    <col customWidth="1" min="9" max="9" width="33.88"/>
    <col customWidth="1" min="10" max="10" width="44.75"/>
    <col customWidth="1" min="14" max="14" width="23.63"/>
  </cols>
  <sheetData>
    <row r="1">
      <c r="A1" s="82">
        <v>45078.0</v>
      </c>
      <c r="B1" s="12" t="s">
        <v>13</v>
      </c>
      <c r="C1" s="13"/>
      <c r="D1" s="14"/>
      <c r="E1" s="15" t="s">
        <v>5</v>
      </c>
      <c r="F1" s="15" t="s">
        <v>14</v>
      </c>
      <c r="G1" s="12"/>
      <c r="H1" s="12"/>
      <c r="I1" s="12" t="s">
        <v>15</v>
      </c>
      <c r="J1" s="12" t="s">
        <v>16</v>
      </c>
    </row>
    <row r="2">
      <c r="A2" s="16">
        <f>A1</f>
        <v>45078</v>
      </c>
      <c r="B2" s="17">
        <f>WEEKNUM(A1)</f>
        <v>22</v>
      </c>
      <c r="C2" s="18">
        <f>A1-WEEKDAY(A1,2)+1</f>
        <v>45075</v>
      </c>
      <c r="D2" s="19">
        <f t="shared" ref="D2:D43" si="1">C2</f>
        <v>45075</v>
      </c>
      <c r="N2" s="21"/>
    </row>
    <row r="3">
      <c r="A3" s="22"/>
      <c r="B3" s="23"/>
      <c r="C3" s="18">
        <f t="shared" ref="C3:C43" si="2">C2+1</f>
        <v>45076</v>
      </c>
      <c r="D3" s="24">
        <f t="shared" si="1"/>
        <v>45076</v>
      </c>
      <c r="N3" s="21"/>
    </row>
    <row r="4">
      <c r="A4" s="22"/>
      <c r="B4" s="23"/>
      <c r="C4" s="18">
        <f t="shared" si="2"/>
        <v>45077</v>
      </c>
      <c r="D4" s="24">
        <f t="shared" si="1"/>
        <v>45077</v>
      </c>
      <c r="N4" s="21"/>
    </row>
    <row r="5">
      <c r="A5" s="22"/>
      <c r="B5" s="23"/>
      <c r="C5" s="18">
        <f t="shared" si="2"/>
        <v>45078</v>
      </c>
      <c r="D5" s="24">
        <f t="shared" si="1"/>
        <v>45078</v>
      </c>
      <c r="E5" s="26"/>
      <c r="M5" s="26"/>
      <c r="N5" s="21" t="s">
        <v>17</v>
      </c>
    </row>
    <row r="6">
      <c r="A6" s="22"/>
      <c r="B6" s="23"/>
      <c r="C6" s="18">
        <f t="shared" si="2"/>
        <v>45079</v>
      </c>
      <c r="D6" s="24">
        <f t="shared" si="1"/>
        <v>45079</v>
      </c>
      <c r="F6" s="26"/>
      <c r="M6" s="28"/>
      <c r="N6" s="21" t="s">
        <v>18</v>
      </c>
    </row>
    <row r="7">
      <c r="A7" s="22"/>
      <c r="B7" s="23"/>
      <c r="C7" s="18">
        <f t="shared" si="2"/>
        <v>45080</v>
      </c>
      <c r="D7" s="24">
        <f t="shared" si="1"/>
        <v>45080</v>
      </c>
      <c r="F7" s="26"/>
    </row>
    <row r="8">
      <c r="A8" s="22"/>
      <c r="B8" s="30"/>
      <c r="C8" s="18">
        <f t="shared" si="2"/>
        <v>45081</v>
      </c>
      <c r="D8" s="24">
        <f t="shared" si="1"/>
        <v>45081</v>
      </c>
      <c r="E8" s="31"/>
      <c r="F8" s="58"/>
      <c r="G8" s="32"/>
      <c r="H8" s="32"/>
      <c r="I8" s="32"/>
      <c r="J8" s="31"/>
      <c r="M8" s="33"/>
      <c r="N8" s="21" t="s">
        <v>19</v>
      </c>
    </row>
    <row r="9">
      <c r="A9" s="22"/>
      <c r="B9" s="34">
        <f>B2+1</f>
        <v>23</v>
      </c>
      <c r="C9" s="35">
        <f t="shared" si="2"/>
        <v>45082</v>
      </c>
      <c r="D9" s="36">
        <f t="shared" si="1"/>
        <v>45082</v>
      </c>
      <c r="E9" s="75"/>
      <c r="F9" s="20"/>
      <c r="G9" s="20"/>
      <c r="H9" s="20"/>
      <c r="I9" s="20"/>
      <c r="J9" s="20"/>
      <c r="M9" s="37"/>
      <c r="N9" s="21" t="s">
        <v>20</v>
      </c>
    </row>
    <row r="10">
      <c r="A10" s="22"/>
      <c r="C10" s="18">
        <f t="shared" si="2"/>
        <v>45083</v>
      </c>
      <c r="D10" s="24">
        <f t="shared" si="1"/>
        <v>45083</v>
      </c>
      <c r="E10" s="26"/>
    </row>
    <row r="11">
      <c r="A11" s="22"/>
      <c r="C11" s="18">
        <f t="shared" si="2"/>
        <v>45084</v>
      </c>
      <c r="D11" s="24">
        <f t="shared" si="1"/>
        <v>45084</v>
      </c>
      <c r="F11" s="26"/>
    </row>
    <row r="12">
      <c r="A12" s="22"/>
      <c r="C12" s="18">
        <f t="shared" si="2"/>
        <v>45085</v>
      </c>
      <c r="D12" s="24">
        <f t="shared" si="1"/>
        <v>45085</v>
      </c>
      <c r="F12" s="26"/>
      <c r="K12" s="38"/>
    </row>
    <row r="13">
      <c r="A13" s="22"/>
      <c r="C13" s="18">
        <f t="shared" si="2"/>
        <v>45086</v>
      </c>
      <c r="D13" s="24">
        <f t="shared" si="1"/>
        <v>45086</v>
      </c>
      <c r="E13" s="26"/>
      <c r="J13" s="21" t="s">
        <v>106</v>
      </c>
    </row>
    <row r="14">
      <c r="A14" s="22"/>
      <c r="C14" s="18">
        <f t="shared" si="2"/>
        <v>45087</v>
      </c>
      <c r="D14" s="24">
        <f t="shared" si="1"/>
        <v>45087</v>
      </c>
      <c r="E14" s="26"/>
      <c r="J14" s="21" t="s">
        <v>106</v>
      </c>
    </row>
    <row r="15">
      <c r="A15" s="22"/>
      <c r="B15" s="39"/>
      <c r="C15" s="18">
        <f t="shared" si="2"/>
        <v>45088</v>
      </c>
      <c r="D15" s="24">
        <f t="shared" si="1"/>
        <v>45088</v>
      </c>
      <c r="E15" s="58"/>
      <c r="F15" s="31"/>
      <c r="G15" s="31"/>
      <c r="H15" s="31"/>
      <c r="I15" s="31"/>
      <c r="J15" s="21" t="s">
        <v>106</v>
      </c>
    </row>
    <row r="16">
      <c r="A16" s="22"/>
      <c r="B16" s="34">
        <f>B9+1</f>
        <v>24</v>
      </c>
      <c r="C16" s="35">
        <f t="shared" si="2"/>
        <v>45089</v>
      </c>
      <c r="D16" s="36">
        <f t="shared" si="1"/>
        <v>45089</v>
      </c>
      <c r="F16" s="26"/>
      <c r="I16" s="20"/>
      <c r="J16" s="20"/>
    </row>
    <row r="17">
      <c r="A17" s="22"/>
      <c r="C17" s="18">
        <f t="shared" si="2"/>
        <v>45090</v>
      </c>
      <c r="D17" s="24">
        <f t="shared" si="1"/>
        <v>45090</v>
      </c>
      <c r="F17" s="26"/>
    </row>
    <row r="18">
      <c r="A18" s="22"/>
      <c r="C18" s="18">
        <f t="shared" si="2"/>
        <v>45091</v>
      </c>
      <c r="D18" s="24">
        <f t="shared" si="1"/>
        <v>45091</v>
      </c>
      <c r="E18" s="26"/>
      <c r="M18" s="83"/>
    </row>
    <row r="19">
      <c r="A19" s="22"/>
      <c r="C19" s="18">
        <f t="shared" si="2"/>
        <v>45092</v>
      </c>
      <c r="D19" s="24">
        <f t="shared" si="1"/>
        <v>45092</v>
      </c>
      <c r="E19" s="28"/>
      <c r="F19" s="26"/>
      <c r="G19" s="21"/>
      <c r="H19" s="21" t="s">
        <v>110</v>
      </c>
      <c r="I19" s="21" t="s">
        <v>108</v>
      </c>
      <c r="M19" s="84"/>
    </row>
    <row r="20">
      <c r="A20" s="22"/>
      <c r="C20" s="18">
        <f t="shared" si="2"/>
        <v>45093</v>
      </c>
      <c r="D20" s="24">
        <f t="shared" si="1"/>
        <v>45093</v>
      </c>
      <c r="E20" s="21" t="s">
        <v>63</v>
      </c>
      <c r="F20" s="47" t="s">
        <v>63</v>
      </c>
      <c r="I20" s="21" t="s">
        <v>111</v>
      </c>
    </row>
    <row r="21">
      <c r="A21" s="22"/>
      <c r="C21" s="18">
        <f t="shared" si="2"/>
        <v>45094</v>
      </c>
      <c r="D21" s="24">
        <f t="shared" si="1"/>
        <v>45094</v>
      </c>
      <c r="E21" s="26"/>
      <c r="F21" s="28"/>
      <c r="G21" s="33"/>
      <c r="I21" s="21" t="s">
        <v>22</v>
      </c>
    </row>
    <row r="22">
      <c r="A22" s="22"/>
      <c r="B22" s="39"/>
      <c r="C22" s="18">
        <f t="shared" si="2"/>
        <v>45095</v>
      </c>
      <c r="D22" s="24">
        <f t="shared" si="1"/>
        <v>45095</v>
      </c>
      <c r="E22" s="26"/>
      <c r="F22" s="28"/>
      <c r="G22" s="85"/>
      <c r="H22" s="31"/>
      <c r="I22" s="32" t="s">
        <v>22</v>
      </c>
      <c r="J22" s="31"/>
    </row>
    <row r="23">
      <c r="A23" s="22"/>
      <c r="B23" s="34">
        <f>B16+1</f>
        <v>25</v>
      </c>
      <c r="C23" s="35">
        <f t="shared" si="2"/>
        <v>45096</v>
      </c>
      <c r="D23" s="36">
        <f t="shared" si="1"/>
        <v>45096</v>
      </c>
      <c r="E23" s="79" t="s">
        <v>59</v>
      </c>
      <c r="F23" s="20"/>
      <c r="G23" s="33"/>
      <c r="H23" s="20"/>
      <c r="I23" s="21" t="s">
        <v>22</v>
      </c>
      <c r="J23" s="20"/>
    </row>
    <row r="24">
      <c r="A24" s="22"/>
      <c r="C24" s="18">
        <f t="shared" si="2"/>
        <v>45097</v>
      </c>
      <c r="D24" s="24">
        <f t="shared" si="1"/>
        <v>45097</v>
      </c>
      <c r="E24" s="47" t="s">
        <v>59</v>
      </c>
      <c r="G24" s="33"/>
      <c r="I24" s="21" t="s">
        <v>22</v>
      </c>
    </row>
    <row r="25">
      <c r="A25" s="22"/>
      <c r="C25" s="18">
        <f t="shared" si="2"/>
        <v>45098</v>
      </c>
      <c r="D25" s="24">
        <f t="shared" si="1"/>
        <v>45098</v>
      </c>
      <c r="E25" s="47" t="s">
        <v>59</v>
      </c>
      <c r="F25" s="28"/>
      <c r="G25" s="33"/>
      <c r="I25" s="21" t="s">
        <v>22</v>
      </c>
    </row>
    <row r="26">
      <c r="A26" s="22"/>
      <c r="C26" s="18">
        <f t="shared" si="2"/>
        <v>45099</v>
      </c>
      <c r="D26" s="24">
        <f t="shared" si="1"/>
        <v>45099</v>
      </c>
      <c r="E26" s="47" t="s">
        <v>63</v>
      </c>
      <c r="F26" s="28"/>
      <c r="G26" s="33"/>
      <c r="I26" s="21" t="s">
        <v>22</v>
      </c>
    </row>
    <row r="27">
      <c r="A27" s="22"/>
      <c r="C27" s="18">
        <f t="shared" si="2"/>
        <v>45100</v>
      </c>
      <c r="D27" s="24">
        <f t="shared" si="1"/>
        <v>45100</v>
      </c>
      <c r="E27" s="47" t="s">
        <v>59</v>
      </c>
      <c r="G27" s="33"/>
      <c r="H27" s="21" t="s">
        <v>112</v>
      </c>
      <c r="I27" s="21" t="s">
        <v>22</v>
      </c>
    </row>
    <row r="28">
      <c r="A28" s="22"/>
      <c r="C28" s="18">
        <f t="shared" si="2"/>
        <v>45101</v>
      </c>
      <c r="D28" s="24">
        <f t="shared" si="1"/>
        <v>45101</v>
      </c>
      <c r="E28" s="47" t="s">
        <v>59</v>
      </c>
      <c r="G28" s="33"/>
      <c r="I28" s="21" t="s">
        <v>22</v>
      </c>
    </row>
    <row r="29">
      <c r="A29" s="22"/>
      <c r="B29" s="39"/>
      <c r="C29" s="18">
        <f t="shared" si="2"/>
        <v>45102</v>
      </c>
      <c r="D29" s="24">
        <f t="shared" si="1"/>
        <v>45102</v>
      </c>
      <c r="E29" s="86" t="s">
        <v>59</v>
      </c>
      <c r="F29" s="87"/>
      <c r="G29" s="85"/>
      <c r="H29" s="31"/>
      <c r="I29" s="32" t="s">
        <v>22</v>
      </c>
      <c r="J29" s="31"/>
    </row>
    <row r="30">
      <c r="A30" s="22"/>
      <c r="B30" s="34">
        <f>B23+1</f>
        <v>26</v>
      </c>
      <c r="C30" s="35">
        <f t="shared" si="2"/>
        <v>45103</v>
      </c>
      <c r="D30" s="36">
        <f t="shared" si="1"/>
        <v>45103</v>
      </c>
      <c r="E30" s="47" t="s">
        <v>59</v>
      </c>
      <c r="F30" s="28"/>
      <c r="G30" s="33"/>
      <c r="I30" s="21" t="s">
        <v>22</v>
      </c>
      <c r="J30" s="20"/>
    </row>
    <row r="31">
      <c r="A31" s="22"/>
      <c r="C31" s="18">
        <f t="shared" si="2"/>
        <v>45104</v>
      </c>
      <c r="D31" s="24">
        <f t="shared" si="1"/>
        <v>45104</v>
      </c>
      <c r="E31" s="47" t="s">
        <v>59</v>
      </c>
      <c r="F31" s="28"/>
      <c r="G31" s="33"/>
      <c r="I31" s="21" t="s">
        <v>22</v>
      </c>
      <c r="J31" s="21" t="s">
        <v>113</v>
      </c>
    </row>
    <row r="32">
      <c r="A32" s="22"/>
      <c r="C32" s="18">
        <f t="shared" si="2"/>
        <v>45105</v>
      </c>
      <c r="D32" s="24">
        <f t="shared" si="1"/>
        <v>45105</v>
      </c>
      <c r="F32" s="47" t="s">
        <v>59</v>
      </c>
      <c r="G32" s="37"/>
    </row>
    <row r="33">
      <c r="A33" s="22"/>
      <c r="C33" s="18">
        <f t="shared" si="2"/>
        <v>45106</v>
      </c>
      <c r="D33" s="24">
        <f t="shared" si="1"/>
        <v>45106</v>
      </c>
      <c r="F33" s="47" t="s">
        <v>59</v>
      </c>
      <c r="G33" s="37"/>
    </row>
    <row r="34">
      <c r="A34" s="22"/>
      <c r="C34" s="18">
        <f t="shared" si="2"/>
        <v>45107</v>
      </c>
      <c r="D34" s="24">
        <f t="shared" si="1"/>
        <v>45107</v>
      </c>
      <c r="F34" s="47" t="s">
        <v>59</v>
      </c>
      <c r="G34" s="37"/>
    </row>
    <row r="35">
      <c r="A35" s="22"/>
      <c r="C35" s="18">
        <f t="shared" si="2"/>
        <v>45108</v>
      </c>
      <c r="D35" s="24">
        <f t="shared" si="1"/>
        <v>45108</v>
      </c>
    </row>
    <row r="36">
      <c r="A36" s="22"/>
      <c r="B36" s="39"/>
      <c r="C36" s="18">
        <f t="shared" si="2"/>
        <v>45109</v>
      </c>
      <c r="D36" s="24">
        <f t="shared" si="1"/>
        <v>45109</v>
      </c>
      <c r="E36" s="31"/>
    </row>
    <row r="37">
      <c r="A37" s="22"/>
      <c r="B37" s="34">
        <f>B30+1</f>
        <v>27</v>
      </c>
      <c r="C37" s="35">
        <f t="shared" si="2"/>
        <v>45110</v>
      </c>
      <c r="D37" s="36">
        <f t="shared" si="1"/>
        <v>45110</v>
      </c>
      <c r="E37" s="20"/>
      <c r="F37" s="20"/>
      <c r="G37" s="20"/>
      <c r="H37" s="20"/>
      <c r="I37" s="20"/>
      <c r="J37" s="20"/>
    </row>
    <row r="38">
      <c r="A38" s="22"/>
      <c r="C38" s="18">
        <f t="shared" si="2"/>
        <v>45111</v>
      </c>
      <c r="D38" s="24">
        <f t="shared" si="1"/>
        <v>45111</v>
      </c>
    </row>
    <row r="39">
      <c r="A39" s="22"/>
      <c r="C39" s="18">
        <f t="shared" si="2"/>
        <v>45112</v>
      </c>
      <c r="D39" s="24">
        <f t="shared" si="1"/>
        <v>45112</v>
      </c>
    </row>
    <row r="40">
      <c r="A40" s="22"/>
      <c r="C40" s="18">
        <f t="shared" si="2"/>
        <v>45113</v>
      </c>
      <c r="D40" s="24">
        <f t="shared" si="1"/>
        <v>45113</v>
      </c>
    </row>
    <row r="41">
      <c r="A41" s="22"/>
      <c r="C41" s="18">
        <f t="shared" si="2"/>
        <v>45114</v>
      </c>
      <c r="D41" s="24">
        <f t="shared" si="1"/>
        <v>45114</v>
      </c>
    </row>
    <row r="42">
      <c r="A42" s="22"/>
      <c r="C42" s="18">
        <f t="shared" si="2"/>
        <v>45115</v>
      </c>
      <c r="D42" s="24">
        <f t="shared" si="1"/>
        <v>45115</v>
      </c>
    </row>
    <row r="43">
      <c r="A43" s="22"/>
      <c r="B43" s="39"/>
      <c r="C43" s="42">
        <f t="shared" si="2"/>
        <v>45116</v>
      </c>
      <c r="D43" s="43">
        <f t="shared" si="1"/>
        <v>45116</v>
      </c>
      <c r="E43" s="31"/>
      <c r="F43" s="31"/>
      <c r="G43" s="31"/>
      <c r="H43" s="31"/>
      <c r="I43" s="31"/>
      <c r="J43" s="31"/>
    </row>
  </sheetData>
  <mergeCells count="7">
    <mergeCell ref="A2:A43"/>
    <mergeCell ref="B2:B8"/>
    <mergeCell ref="B9:B15"/>
    <mergeCell ref="B16:B22"/>
    <mergeCell ref="B23:B29"/>
    <mergeCell ref="B30:B36"/>
    <mergeCell ref="B37:B43"/>
  </mergeCells>
  <conditionalFormatting sqref="C2:C43">
    <cfRule type="timePeriod" dxfId="2" priority="3" timePeriod="today"/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5"/>
    <col customWidth="1" min="3" max="3" width="2.88"/>
    <col customWidth="1" min="4" max="4" width="7.5"/>
    <col customWidth="1" min="7" max="8" width="13.38"/>
    <col customWidth="1" min="9" max="9" width="22.63"/>
    <col customWidth="1" min="10" max="10" width="36.63"/>
    <col customWidth="1" min="14" max="14" width="23.63"/>
  </cols>
  <sheetData>
    <row r="1">
      <c r="A1" s="82">
        <v>45108.0</v>
      </c>
      <c r="B1" s="12" t="s">
        <v>13</v>
      </c>
      <c r="C1" s="13"/>
      <c r="D1" s="14"/>
      <c r="E1" s="15" t="s">
        <v>5</v>
      </c>
      <c r="F1" s="15" t="s">
        <v>14</v>
      </c>
      <c r="G1" s="12"/>
      <c r="H1" s="12"/>
      <c r="I1" s="12" t="s">
        <v>15</v>
      </c>
      <c r="J1" s="12" t="s">
        <v>16</v>
      </c>
    </row>
    <row r="2">
      <c r="A2" s="16">
        <f>A1</f>
        <v>45108</v>
      </c>
      <c r="B2" s="17">
        <f>WEEKNUM(A1)</f>
        <v>26</v>
      </c>
      <c r="C2" s="18">
        <f>A1-WEEKDAY(A1,2)+1</f>
        <v>45103</v>
      </c>
      <c r="D2" s="19">
        <f t="shared" ref="D2:D43" si="1">C2</f>
        <v>45103</v>
      </c>
      <c r="N2" s="21"/>
    </row>
    <row r="3">
      <c r="A3" s="22"/>
      <c r="B3" s="23"/>
      <c r="C3" s="18">
        <f t="shared" ref="C3:C43" si="2">C2+1</f>
        <v>45104</v>
      </c>
      <c r="D3" s="24">
        <f t="shared" si="1"/>
        <v>45104</v>
      </c>
      <c r="N3" s="21"/>
    </row>
    <row r="4">
      <c r="A4" s="22"/>
      <c r="B4" s="23"/>
      <c r="C4" s="18">
        <f t="shared" si="2"/>
        <v>45105</v>
      </c>
      <c r="D4" s="24">
        <f t="shared" si="1"/>
        <v>45105</v>
      </c>
      <c r="N4" s="21"/>
    </row>
    <row r="5">
      <c r="A5" s="22"/>
      <c r="B5" s="23"/>
      <c r="C5" s="18">
        <f t="shared" si="2"/>
        <v>45106</v>
      </c>
      <c r="D5" s="24">
        <f t="shared" si="1"/>
        <v>45106</v>
      </c>
      <c r="M5" s="26"/>
      <c r="N5" s="21" t="s">
        <v>17</v>
      </c>
    </row>
    <row r="6">
      <c r="A6" s="22"/>
      <c r="B6" s="23"/>
      <c r="C6" s="18">
        <f t="shared" si="2"/>
        <v>45107</v>
      </c>
      <c r="D6" s="24">
        <f t="shared" si="1"/>
        <v>45107</v>
      </c>
      <c r="M6" s="28"/>
      <c r="N6" s="21" t="s">
        <v>18</v>
      </c>
    </row>
    <row r="7">
      <c r="A7" s="22"/>
      <c r="B7" s="23"/>
      <c r="C7" s="18">
        <f t="shared" si="2"/>
        <v>45108</v>
      </c>
      <c r="D7" s="24">
        <f t="shared" si="1"/>
        <v>45108</v>
      </c>
      <c r="F7" s="26"/>
      <c r="G7" s="37"/>
    </row>
    <row r="8">
      <c r="A8" s="22"/>
      <c r="B8" s="30"/>
      <c r="C8" s="18">
        <f t="shared" si="2"/>
        <v>45109</v>
      </c>
      <c r="D8" s="24">
        <f t="shared" si="1"/>
        <v>45109</v>
      </c>
      <c r="E8" s="31"/>
      <c r="F8" s="58"/>
      <c r="G8" s="37"/>
      <c r="H8" s="32"/>
      <c r="I8" s="31"/>
      <c r="J8" s="32" t="s">
        <v>114</v>
      </c>
      <c r="M8" s="33"/>
      <c r="N8" s="21" t="s">
        <v>19</v>
      </c>
    </row>
    <row r="9">
      <c r="A9" s="22"/>
      <c r="B9" s="34">
        <f>B2+1</f>
        <v>27</v>
      </c>
      <c r="C9" s="35">
        <f t="shared" si="2"/>
        <v>45110</v>
      </c>
      <c r="D9" s="36">
        <f t="shared" si="1"/>
        <v>45110</v>
      </c>
      <c r="E9" s="79" t="s">
        <v>59</v>
      </c>
      <c r="F9" s="20"/>
      <c r="G9" s="88"/>
      <c r="H9" s="80"/>
      <c r="I9" s="20"/>
      <c r="M9" s="37"/>
      <c r="N9" s="21" t="s">
        <v>20</v>
      </c>
    </row>
    <row r="10">
      <c r="A10" s="22"/>
      <c r="C10" s="18">
        <f t="shared" si="2"/>
        <v>45111</v>
      </c>
      <c r="D10" s="24">
        <f t="shared" si="1"/>
        <v>45111</v>
      </c>
      <c r="E10" s="47" t="s">
        <v>59</v>
      </c>
      <c r="G10" s="33"/>
    </row>
    <row r="11">
      <c r="A11" s="22"/>
      <c r="C11" s="18">
        <f t="shared" si="2"/>
        <v>45112</v>
      </c>
      <c r="D11" s="24">
        <f t="shared" si="1"/>
        <v>45112</v>
      </c>
      <c r="E11" s="47" t="s">
        <v>59</v>
      </c>
      <c r="G11" s="33"/>
    </row>
    <row r="12">
      <c r="A12" s="22"/>
      <c r="C12" s="18">
        <f t="shared" si="2"/>
        <v>45113</v>
      </c>
      <c r="D12" s="24">
        <f t="shared" si="1"/>
        <v>45113</v>
      </c>
      <c r="E12" s="47" t="s">
        <v>59</v>
      </c>
      <c r="G12" s="33"/>
      <c r="K12" s="38"/>
    </row>
    <row r="13">
      <c r="A13" s="22"/>
      <c r="C13" s="18">
        <f t="shared" si="2"/>
        <v>45114</v>
      </c>
      <c r="D13" s="24">
        <f t="shared" si="1"/>
        <v>45114</v>
      </c>
      <c r="E13" s="47" t="s">
        <v>59</v>
      </c>
      <c r="G13" s="33"/>
      <c r="J13" s="21"/>
    </row>
    <row r="14">
      <c r="A14" s="22"/>
      <c r="C14" s="18">
        <f t="shared" si="2"/>
        <v>45115</v>
      </c>
      <c r="D14" s="24">
        <f t="shared" si="1"/>
        <v>45115</v>
      </c>
      <c r="E14" s="47" t="s">
        <v>59</v>
      </c>
      <c r="G14" s="33"/>
      <c r="J14" s="21"/>
    </row>
    <row r="15">
      <c r="A15" s="22"/>
      <c r="B15" s="39"/>
      <c r="C15" s="18">
        <f t="shared" si="2"/>
        <v>45116</v>
      </c>
      <c r="D15" s="24">
        <f t="shared" si="1"/>
        <v>45116</v>
      </c>
      <c r="E15" s="86" t="s">
        <v>59</v>
      </c>
      <c r="F15" s="31"/>
      <c r="G15" s="33"/>
      <c r="I15" s="31"/>
      <c r="J15" s="32" t="s">
        <v>115</v>
      </c>
    </row>
    <row r="16">
      <c r="A16" s="22"/>
      <c r="B16" s="34">
        <f>B9+1</f>
        <v>28</v>
      </c>
      <c r="C16" s="35">
        <f t="shared" si="2"/>
        <v>45117</v>
      </c>
      <c r="D16" s="36">
        <f t="shared" si="1"/>
        <v>45117</v>
      </c>
      <c r="F16" s="47"/>
      <c r="G16" s="37"/>
      <c r="H16" s="80"/>
      <c r="I16" s="20"/>
    </row>
    <row r="17">
      <c r="A17" s="22"/>
      <c r="C17" s="18">
        <f t="shared" si="2"/>
        <v>45118</v>
      </c>
      <c r="D17" s="24">
        <f t="shared" si="1"/>
        <v>45118</v>
      </c>
      <c r="F17" s="47"/>
      <c r="G17" s="37"/>
      <c r="H17" s="21"/>
    </row>
    <row r="18">
      <c r="A18" s="22"/>
      <c r="C18" s="18">
        <f t="shared" si="2"/>
        <v>45119</v>
      </c>
      <c r="D18" s="24">
        <f t="shared" si="1"/>
        <v>45119</v>
      </c>
      <c r="F18" s="47" t="s">
        <v>59</v>
      </c>
      <c r="G18" s="37"/>
      <c r="H18" s="21"/>
      <c r="I18" s="21" t="s">
        <v>116</v>
      </c>
      <c r="M18" s="83"/>
    </row>
    <row r="19">
      <c r="A19" s="22"/>
      <c r="C19" s="18">
        <f t="shared" si="2"/>
        <v>45120</v>
      </c>
      <c r="D19" s="24">
        <f t="shared" si="1"/>
        <v>45120</v>
      </c>
      <c r="F19" s="47" t="s">
        <v>59</v>
      </c>
      <c r="G19" s="37"/>
      <c r="H19" s="21"/>
      <c r="M19" s="84"/>
    </row>
    <row r="20">
      <c r="A20" s="22"/>
      <c r="C20" s="18">
        <f t="shared" si="2"/>
        <v>45121</v>
      </c>
      <c r="D20" s="24">
        <f t="shared" si="1"/>
        <v>45121</v>
      </c>
      <c r="F20" s="47" t="s">
        <v>59</v>
      </c>
      <c r="G20" s="37"/>
      <c r="H20" s="21"/>
    </row>
    <row r="21">
      <c r="A21" s="22"/>
      <c r="C21" s="18">
        <f t="shared" si="2"/>
        <v>45122</v>
      </c>
      <c r="D21" s="24">
        <f t="shared" si="1"/>
        <v>45122</v>
      </c>
      <c r="F21" s="47"/>
      <c r="G21" s="37"/>
      <c r="H21" s="21"/>
    </row>
    <row r="22">
      <c r="A22" s="22"/>
      <c r="B22" s="39"/>
      <c r="C22" s="18">
        <f t="shared" si="2"/>
        <v>45123</v>
      </c>
      <c r="D22" s="24">
        <f t="shared" si="1"/>
        <v>45123</v>
      </c>
      <c r="E22" s="31"/>
      <c r="F22" s="86"/>
      <c r="G22" s="37"/>
      <c r="H22" s="21"/>
      <c r="I22" s="31"/>
      <c r="J22" s="31"/>
    </row>
    <row r="23">
      <c r="A23" s="22"/>
      <c r="B23" s="34">
        <f>B16+1</f>
        <v>29</v>
      </c>
      <c r="C23" s="35">
        <f t="shared" si="2"/>
        <v>45124</v>
      </c>
      <c r="D23" s="36">
        <f t="shared" si="1"/>
        <v>45124</v>
      </c>
      <c r="E23" s="79" t="s">
        <v>59</v>
      </c>
      <c r="F23" s="20"/>
      <c r="G23" s="33"/>
      <c r="H23" s="80" t="s">
        <v>22</v>
      </c>
      <c r="I23" s="20"/>
    </row>
    <row r="24">
      <c r="A24" s="22"/>
      <c r="C24" s="18">
        <f t="shared" si="2"/>
        <v>45125</v>
      </c>
      <c r="D24" s="24">
        <f t="shared" si="1"/>
        <v>45125</v>
      </c>
      <c r="E24" s="47" t="s">
        <v>59</v>
      </c>
      <c r="G24" s="33"/>
      <c r="H24" s="21" t="s">
        <v>22</v>
      </c>
    </row>
    <row r="25">
      <c r="A25" s="22"/>
      <c r="C25" s="18">
        <f t="shared" si="2"/>
        <v>45126</v>
      </c>
      <c r="D25" s="24">
        <f t="shared" si="1"/>
        <v>45126</v>
      </c>
      <c r="E25" s="47" t="s">
        <v>59</v>
      </c>
      <c r="G25" s="33"/>
      <c r="H25" s="21" t="s">
        <v>22</v>
      </c>
    </row>
    <row r="26">
      <c r="A26" s="22"/>
      <c r="C26" s="18">
        <f t="shared" si="2"/>
        <v>45127</v>
      </c>
      <c r="D26" s="24">
        <f t="shared" si="1"/>
        <v>45127</v>
      </c>
      <c r="E26" s="47" t="s">
        <v>59</v>
      </c>
      <c r="G26" s="33"/>
      <c r="H26" s="21" t="s">
        <v>22</v>
      </c>
    </row>
    <row r="27">
      <c r="A27" s="22"/>
      <c r="C27" s="18">
        <f t="shared" si="2"/>
        <v>45128</v>
      </c>
      <c r="D27" s="24">
        <f t="shared" si="1"/>
        <v>45128</v>
      </c>
      <c r="E27" s="47" t="s">
        <v>59</v>
      </c>
      <c r="G27" s="33"/>
      <c r="H27" s="21" t="s">
        <v>22</v>
      </c>
    </row>
    <row r="28">
      <c r="A28" s="22"/>
      <c r="C28" s="18">
        <f t="shared" si="2"/>
        <v>45129</v>
      </c>
      <c r="D28" s="24">
        <f t="shared" si="1"/>
        <v>45129</v>
      </c>
      <c r="E28" s="47" t="s">
        <v>59</v>
      </c>
      <c r="G28" s="33"/>
      <c r="H28" s="21" t="s">
        <v>22</v>
      </c>
    </row>
    <row r="29">
      <c r="A29" s="22"/>
      <c r="B29" s="39"/>
      <c r="C29" s="18">
        <f t="shared" si="2"/>
        <v>45130</v>
      </c>
      <c r="D29" s="24">
        <f t="shared" si="1"/>
        <v>45130</v>
      </c>
      <c r="E29" s="86" t="s">
        <v>59</v>
      </c>
      <c r="F29" s="31"/>
      <c r="G29" s="33"/>
      <c r="H29" s="21" t="s">
        <v>22</v>
      </c>
      <c r="I29" s="32"/>
      <c r="J29" s="32"/>
    </row>
    <row r="30">
      <c r="A30" s="22"/>
      <c r="B30" s="34">
        <f>B23+1</f>
        <v>30</v>
      </c>
      <c r="C30" s="35">
        <f t="shared" si="2"/>
        <v>45131</v>
      </c>
      <c r="D30" s="36">
        <f t="shared" si="1"/>
        <v>45131</v>
      </c>
      <c r="F30" s="26"/>
      <c r="G30" s="37"/>
      <c r="H30" s="80" t="s">
        <v>117</v>
      </c>
      <c r="I30" s="80"/>
      <c r="J30" s="51" t="s">
        <v>118</v>
      </c>
    </row>
    <row r="31">
      <c r="A31" s="22"/>
      <c r="C31" s="18">
        <f t="shared" si="2"/>
        <v>45132</v>
      </c>
      <c r="D31" s="24">
        <f t="shared" si="1"/>
        <v>45132</v>
      </c>
      <c r="F31" s="26"/>
      <c r="G31" s="37"/>
      <c r="H31" s="21" t="s">
        <v>117</v>
      </c>
    </row>
    <row r="32">
      <c r="A32" s="22"/>
      <c r="C32" s="18">
        <f t="shared" si="2"/>
        <v>45133</v>
      </c>
      <c r="D32" s="24">
        <f t="shared" si="1"/>
        <v>45133</v>
      </c>
      <c r="F32" s="26"/>
      <c r="G32" s="37"/>
      <c r="H32" s="21" t="s">
        <v>117</v>
      </c>
    </row>
    <row r="33">
      <c r="A33" s="22"/>
      <c r="C33" s="18">
        <f t="shared" si="2"/>
        <v>45134</v>
      </c>
      <c r="D33" s="24">
        <f t="shared" si="1"/>
        <v>45134</v>
      </c>
      <c r="F33" s="26"/>
      <c r="G33" s="37"/>
      <c r="H33" s="21" t="s">
        <v>117</v>
      </c>
    </row>
    <row r="34">
      <c r="A34" s="22"/>
      <c r="C34" s="18">
        <f t="shared" si="2"/>
        <v>45135</v>
      </c>
      <c r="D34" s="24">
        <f t="shared" si="1"/>
        <v>45135</v>
      </c>
      <c r="F34" s="26"/>
      <c r="G34" s="37"/>
      <c r="H34" s="21" t="s">
        <v>117</v>
      </c>
    </row>
    <row r="35">
      <c r="A35" s="22"/>
      <c r="C35" s="18">
        <f t="shared" si="2"/>
        <v>45136</v>
      </c>
      <c r="D35" s="24">
        <f t="shared" si="1"/>
        <v>45136</v>
      </c>
      <c r="F35" s="26"/>
      <c r="G35" s="37"/>
      <c r="H35" s="21" t="s">
        <v>117</v>
      </c>
    </row>
    <row r="36">
      <c r="A36" s="22"/>
      <c r="B36" s="39"/>
      <c r="C36" s="18">
        <f t="shared" si="2"/>
        <v>45137</v>
      </c>
      <c r="D36" s="24">
        <f t="shared" si="1"/>
        <v>45137</v>
      </c>
      <c r="E36" s="31"/>
      <c r="F36" s="58"/>
      <c r="G36" s="37"/>
      <c r="H36" s="32" t="s">
        <v>117</v>
      </c>
      <c r="I36" s="32"/>
      <c r="J36" s="61" t="s">
        <v>119</v>
      </c>
    </row>
    <row r="37">
      <c r="A37" s="22"/>
      <c r="B37" s="34">
        <f>B30+1</f>
        <v>31</v>
      </c>
      <c r="C37" s="35">
        <f t="shared" si="2"/>
        <v>45138</v>
      </c>
      <c r="D37" s="36">
        <f t="shared" si="1"/>
        <v>45138</v>
      </c>
      <c r="E37" s="79" t="s">
        <v>59</v>
      </c>
      <c r="F37" s="20"/>
      <c r="G37" s="33"/>
      <c r="H37" s="21" t="s">
        <v>22</v>
      </c>
    </row>
    <row r="38">
      <c r="A38" s="22"/>
      <c r="C38" s="18">
        <f t="shared" si="2"/>
        <v>45139</v>
      </c>
      <c r="D38" s="24">
        <f t="shared" si="1"/>
        <v>45139</v>
      </c>
    </row>
    <row r="39">
      <c r="A39" s="22"/>
      <c r="C39" s="18">
        <f t="shared" si="2"/>
        <v>45140</v>
      </c>
      <c r="D39" s="24">
        <f t="shared" si="1"/>
        <v>45140</v>
      </c>
    </row>
    <row r="40">
      <c r="A40" s="22"/>
      <c r="C40" s="18">
        <f t="shared" si="2"/>
        <v>45141</v>
      </c>
      <c r="D40" s="24">
        <f t="shared" si="1"/>
        <v>45141</v>
      </c>
    </row>
    <row r="41">
      <c r="A41" s="22"/>
      <c r="C41" s="18">
        <f t="shared" si="2"/>
        <v>45142</v>
      </c>
      <c r="D41" s="24">
        <f t="shared" si="1"/>
        <v>45142</v>
      </c>
    </row>
    <row r="42">
      <c r="A42" s="22"/>
      <c r="C42" s="18">
        <f t="shared" si="2"/>
        <v>45143</v>
      </c>
      <c r="D42" s="24">
        <f t="shared" si="1"/>
        <v>45143</v>
      </c>
    </row>
    <row r="43">
      <c r="A43" s="22"/>
      <c r="B43" s="39"/>
      <c r="C43" s="42">
        <f t="shared" si="2"/>
        <v>45144</v>
      </c>
      <c r="D43" s="43">
        <f t="shared" si="1"/>
        <v>45144</v>
      </c>
      <c r="E43" s="31"/>
      <c r="F43" s="31"/>
      <c r="G43" s="31"/>
      <c r="H43" s="31"/>
      <c r="I43" s="31"/>
      <c r="J43" s="31"/>
    </row>
  </sheetData>
  <mergeCells count="7">
    <mergeCell ref="A2:A43"/>
    <mergeCell ref="B2:B8"/>
    <mergeCell ref="B9:B15"/>
    <mergeCell ref="B16:B22"/>
    <mergeCell ref="B23:B29"/>
    <mergeCell ref="B30:B36"/>
    <mergeCell ref="B37:B43"/>
  </mergeCells>
  <conditionalFormatting sqref="C2:C43">
    <cfRule type="timePeriod" dxfId="2" priority="3" timePeriod="today"/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5"/>
    <col customWidth="1" min="3" max="3" width="2.88"/>
    <col customWidth="1" min="4" max="4" width="7.5"/>
    <col customWidth="1" min="7" max="7" width="13.38"/>
    <col customWidth="1" min="8" max="8" width="14.63"/>
    <col customWidth="1" min="9" max="9" width="33.5"/>
    <col customWidth="1" min="10" max="10" width="30.13"/>
    <col customWidth="1" min="14" max="14" width="23.63"/>
  </cols>
  <sheetData>
    <row r="1">
      <c r="A1" s="82">
        <v>45139.0</v>
      </c>
      <c r="B1" s="12" t="s">
        <v>13</v>
      </c>
      <c r="C1" s="13"/>
      <c r="D1" s="14"/>
      <c r="E1" s="15" t="s">
        <v>5</v>
      </c>
      <c r="F1" s="15" t="s">
        <v>14</v>
      </c>
      <c r="G1" s="12"/>
      <c r="H1" s="12"/>
      <c r="I1" s="12" t="s">
        <v>15</v>
      </c>
      <c r="J1" s="12" t="s">
        <v>16</v>
      </c>
    </row>
    <row r="2">
      <c r="A2" s="16">
        <f>A1</f>
        <v>45139</v>
      </c>
      <c r="B2" s="17">
        <f>WEEKNUM(A1)</f>
        <v>31</v>
      </c>
      <c r="C2" s="18">
        <f>A1-WEEKDAY(A1,2)+1</f>
        <v>45138</v>
      </c>
      <c r="D2" s="19">
        <f t="shared" ref="D2:D43" si="1">C2</f>
        <v>45138</v>
      </c>
      <c r="N2" s="21"/>
    </row>
    <row r="3">
      <c r="A3" s="22"/>
      <c r="B3" s="23"/>
      <c r="C3" s="18">
        <f t="shared" ref="C3:C43" si="2">C2+1</f>
        <v>45139</v>
      </c>
      <c r="D3" s="24">
        <f t="shared" si="1"/>
        <v>45139</v>
      </c>
      <c r="E3" s="47" t="s">
        <v>59</v>
      </c>
      <c r="G3" s="33"/>
      <c r="H3" s="21" t="s">
        <v>22</v>
      </c>
      <c r="N3" s="21"/>
    </row>
    <row r="4">
      <c r="A4" s="22"/>
      <c r="B4" s="23"/>
      <c r="C4" s="18">
        <f t="shared" si="2"/>
        <v>45140</v>
      </c>
      <c r="D4" s="24">
        <f t="shared" si="1"/>
        <v>45140</v>
      </c>
      <c r="E4" s="47" t="s">
        <v>59</v>
      </c>
      <c r="G4" s="33"/>
      <c r="H4" s="21" t="s">
        <v>22</v>
      </c>
      <c r="N4" s="21"/>
    </row>
    <row r="5">
      <c r="A5" s="22"/>
      <c r="B5" s="23"/>
      <c r="C5" s="18">
        <f t="shared" si="2"/>
        <v>45141</v>
      </c>
      <c r="D5" s="24">
        <f t="shared" si="1"/>
        <v>45141</v>
      </c>
      <c r="E5" s="47" t="s">
        <v>59</v>
      </c>
      <c r="G5" s="33"/>
      <c r="H5" s="21" t="s">
        <v>22</v>
      </c>
      <c r="M5" s="26"/>
      <c r="N5" s="21" t="s">
        <v>17</v>
      </c>
    </row>
    <row r="6">
      <c r="A6" s="22"/>
      <c r="B6" s="23"/>
      <c r="C6" s="18">
        <f t="shared" si="2"/>
        <v>45142</v>
      </c>
      <c r="D6" s="24">
        <f t="shared" si="1"/>
        <v>45142</v>
      </c>
      <c r="E6" s="47" t="s">
        <v>59</v>
      </c>
      <c r="G6" s="33"/>
      <c r="H6" s="21" t="s">
        <v>22</v>
      </c>
      <c r="M6" s="28"/>
      <c r="N6" s="21" t="s">
        <v>18</v>
      </c>
    </row>
    <row r="7">
      <c r="A7" s="22"/>
      <c r="B7" s="23"/>
      <c r="C7" s="18">
        <f t="shared" si="2"/>
        <v>45143</v>
      </c>
      <c r="D7" s="24">
        <f t="shared" si="1"/>
        <v>45143</v>
      </c>
      <c r="E7" s="26"/>
      <c r="G7" s="33"/>
      <c r="H7" s="21" t="s">
        <v>22</v>
      </c>
      <c r="I7" s="21" t="s">
        <v>120</v>
      </c>
    </row>
    <row r="8">
      <c r="A8" s="22"/>
      <c r="B8" s="30"/>
      <c r="C8" s="18">
        <f t="shared" si="2"/>
        <v>45144</v>
      </c>
      <c r="D8" s="24">
        <f t="shared" si="1"/>
        <v>45144</v>
      </c>
      <c r="E8" s="58"/>
      <c r="F8" s="31"/>
      <c r="G8" s="89"/>
      <c r="H8" s="21" t="s">
        <v>121</v>
      </c>
      <c r="I8" s="32" t="s">
        <v>122</v>
      </c>
      <c r="J8" s="31"/>
      <c r="M8" s="33"/>
      <c r="N8" s="21" t="s">
        <v>19</v>
      </c>
    </row>
    <row r="9">
      <c r="A9" s="22"/>
      <c r="B9" s="34">
        <f>B2+1</f>
        <v>32</v>
      </c>
      <c r="C9" s="35">
        <f t="shared" si="2"/>
        <v>45145</v>
      </c>
      <c r="D9" s="36">
        <f t="shared" si="1"/>
        <v>45145</v>
      </c>
      <c r="F9" s="26"/>
      <c r="G9" s="37"/>
      <c r="H9" s="80" t="s">
        <v>121</v>
      </c>
      <c r="I9" s="20"/>
      <c r="M9" s="37"/>
      <c r="N9" s="21" t="s">
        <v>20</v>
      </c>
    </row>
    <row r="10">
      <c r="A10" s="22"/>
      <c r="C10" s="18">
        <f t="shared" si="2"/>
        <v>45146</v>
      </c>
      <c r="D10" s="24">
        <f t="shared" si="1"/>
        <v>45146</v>
      </c>
      <c r="F10" s="26"/>
      <c r="G10" s="37"/>
      <c r="H10" s="21" t="s">
        <v>121</v>
      </c>
    </row>
    <row r="11">
      <c r="A11" s="22"/>
      <c r="C11" s="18">
        <f t="shared" si="2"/>
        <v>45147</v>
      </c>
      <c r="D11" s="24">
        <f t="shared" si="1"/>
        <v>45147</v>
      </c>
      <c r="F11" s="26"/>
      <c r="G11" s="37"/>
      <c r="H11" s="21" t="s">
        <v>121</v>
      </c>
    </row>
    <row r="12">
      <c r="A12" s="22"/>
      <c r="C12" s="18">
        <f t="shared" si="2"/>
        <v>45148</v>
      </c>
      <c r="D12" s="24">
        <f t="shared" si="1"/>
        <v>45148</v>
      </c>
      <c r="F12" s="26"/>
      <c r="G12" s="37"/>
      <c r="H12" s="21" t="s">
        <v>121</v>
      </c>
      <c r="K12" s="38"/>
    </row>
    <row r="13">
      <c r="A13" s="22"/>
      <c r="C13" s="18">
        <f t="shared" si="2"/>
        <v>45149</v>
      </c>
      <c r="D13" s="24">
        <f t="shared" si="1"/>
        <v>45149</v>
      </c>
      <c r="F13" s="26"/>
      <c r="G13" s="37"/>
      <c r="H13" s="21" t="s">
        <v>121</v>
      </c>
    </row>
    <row r="14">
      <c r="A14" s="22"/>
      <c r="C14" s="18">
        <f t="shared" si="2"/>
        <v>45150</v>
      </c>
      <c r="D14" s="24">
        <f t="shared" si="1"/>
        <v>45150</v>
      </c>
      <c r="F14" s="26"/>
      <c r="G14" s="37"/>
      <c r="H14" s="21" t="s">
        <v>121</v>
      </c>
    </row>
    <row r="15">
      <c r="A15" s="22"/>
      <c r="B15" s="39"/>
      <c r="C15" s="18">
        <f t="shared" si="2"/>
        <v>45151</v>
      </c>
      <c r="D15" s="24">
        <f t="shared" si="1"/>
        <v>45151</v>
      </c>
      <c r="E15" s="31"/>
      <c r="F15" s="58"/>
      <c r="G15" s="37"/>
      <c r="H15" s="32" t="s">
        <v>121</v>
      </c>
      <c r="I15" s="31"/>
      <c r="J15" s="31"/>
    </row>
    <row r="16">
      <c r="A16" s="22"/>
      <c r="B16" s="34">
        <f>B9+1</f>
        <v>33</v>
      </c>
      <c r="C16" s="35">
        <f t="shared" si="2"/>
        <v>45152</v>
      </c>
      <c r="D16" s="36">
        <f t="shared" si="1"/>
        <v>45152</v>
      </c>
      <c r="E16" s="75"/>
      <c r="F16" s="20"/>
      <c r="G16" s="20"/>
      <c r="H16" s="80"/>
      <c r="I16" s="20"/>
    </row>
    <row r="17">
      <c r="A17" s="22"/>
      <c r="C17" s="18">
        <f t="shared" si="2"/>
        <v>45153</v>
      </c>
      <c r="D17" s="24">
        <f t="shared" si="1"/>
        <v>45153</v>
      </c>
      <c r="E17" s="26"/>
    </row>
    <row r="18">
      <c r="A18" s="22"/>
      <c r="C18" s="18">
        <f t="shared" si="2"/>
        <v>45154</v>
      </c>
      <c r="D18" s="24">
        <f t="shared" si="1"/>
        <v>45154</v>
      </c>
      <c r="F18" s="26"/>
      <c r="M18" s="83"/>
    </row>
    <row r="19">
      <c r="A19" s="22"/>
      <c r="C19" s="18">
        <f t="shared" si="2"/>
        <v>45155</v>
      </c>
      <c r="D19" s="24">
        <f t="shared" si="1"/>
        <v>45155</v>
      </c>
      <c r="F19" s="26"/>
      <c r="M19" s="84"/>
    </row>
    <row r="20">
      <c r="A20" s="22"/>
      <c r="C20" s="18">
        <f t="shared" si="2"/>
        <v>45156</v>
      </c>
      <c r="D20" s="24">
        <f t="shared" si="1"/>
        <v>45156</v>
      </c>
      <c r="E20" s="26"/>
    </row>
    <row r="21">
      <c r="A21" s="22"/>
      <c r="C21" s="18">
        <f t="shared" si="2"/>
        <v>45157</v>
      </c>
      <c r="D21" s="24">
        <f t="shared" si="1"/>
        <v>45157</v>
      </c>
      <c r="E21" s="26"/>
    </row>
    <row r="22">
      <c r="A22" s="22"/>
      <c r="B22" s="39"/>
      <c r="C22" s="18">
        <f t="shared" si="2"/>
        <v>45158</v>
      </c>
      <c r="D22" s="24">
        <f t="shared" si="1"/>
        <v>45158</v>
      </c>
      <c r="E22" s="58"/>
      <c r="F22" s="31"/>
      <c r="G22" s="31"/>
      <c r="H22" s="31"/>
      <c r="I22" s="31"/>
      <c r="J22" s="31"/>
    </row>
    <row r="23">
      <c r="A23" s="22"/>
      <c r="B23" s="34">
        <f>B16+1</f>
        <v>34</v>
      </c>
      <c r="C23" s="35">
        <f t="shared" si="2"/>
        <v>45159</v>
      </c>
      <c r="D23" s="36">
        <f t="shared" si="1"/>
        <v>45159</v>
      </c>
      <c r="F23" s="26"/>
      <c r="H23" s="20"/>
      <c r="I23" s="20"/>
    </row>
    <row r="24">
      <c r="A24" s="22"/>
      <c r="C24" s="18">
        <f t="shared" si="2"/>
        <v>45160</v>
      </c>
      <c r="D24" s="24">
        <f t="shared" si="1"/>
        <v>45160</v>
      </c>
      <c r="F24" s="26"/>
    </row>
    <row r="25">
      <c r="A25" s="22"/>
      <c r="C25" s="18">
        <f t="shared" si="2"/>
        <v>45161</v>
      </c>
      <c r="D25" s="24">
        <f t="shared" si="1"/>
        <v>45161</v>
      </c>
      <c r="E25" s="26"/>
    </row>
    <row r="26">
      <c r="A26" s="22"/>
      <c r="C26" s="18">
        <f t="shared" si="2"/>
        <v>45162</v>
      </c>
      <c r="D26" s="24">
        <f t="shared" si="1"/>
        <v>45162</v>
      </c>
      <c r="E26" s="28"/>
      <c r="F26" s="26"/>
      <c r="H26" s="21" t="s">
        <v>121</v>
      </c>
      <c r="I26" s="21" t="s">
        <v>123</v>
      </c>
    </row>
    <row r="27">
      <c r="A27" s="22"/>
      <c r="C27" s="18">
        <f t="shared" si="2"/>
        <v>45163</v>
      </c>
      <c r="D27" s="24">
        <f t="shared" si="1"/>
        <v>45163</v>
      </c>
      <c r="F27" s="26"/>
      <c r="H27" s="21" t="s">
        <v>121</v>
      </c>
    </row>
    <row r="28">
      <c r="A28" s="22"/>
      <c r="C28" s="18">
        <f t="shared" si="2"/>
        <v>45164</v>
      </c>
      <c r="D28" s="24">
        <f t="shared" si="1"/>
        <v>45164</v>
      </c>
      <c r="F28" s="26"/>
    </row>
    <row r="29">
      <c r="A29" s="22"/>
      <c r="B29" s="39"/>
      <c r="C29" s="18">
        <f t="shared" si="2"/>
        <v>45165</v>
      </c>
      <c r="D29" s="24">
        <f t="shared" si="1"/>
        <v>45165</v>
      </c>
      <c r="E29" s="31"/>
      <c r="F29" s="58"/>
      <c r="G29" s="31"/>
      <c r="H29" s="31"/>
      <c r="I29" s="31"/>
      <c r="J29" s="32"/>
    </row>
    <row r="30">
      <c r="A30" s="22"/>
      <c r="B30" s="34">
        <f>B23+1</f>
        <v>35</v>
      </c>
      <c r="C30" s="35">
        <f t="shared" si="2"/>
        <v>45166</v>
      </c>
      <c r="D30" s="36">
        <f t="shared" si="1"/>
        <v>45166</v>
      </c>
      <c r="E30" s="75"/>
      <c r="F30" s="20"/>
      <c r="G30" s="20"/>
      <c r="H30" s="20"/>
      <c r="I30" s="20"/>
    </row>
    <row r="31">
      <c r="A31" s="22"/>
      <c r="C31" s="18">
        <f t="shared" si="2"/>
        <v>45167</v>
      </c>
      <c r="D31" s="24">
        <f t="shared" si="1"/>
        <v>45167</v>
      </c>
      <c r="E31" s="26"/>
      <c r="I31" s="21" t="s">
        <v>124</v>
      </c>
      <c r="J31" s="21" t="s">
        <v>125</v>
      </c>
    </row>
    <row r="32">
      <c r="A32" s="22"/>
      <c r="C32" s="18">
        <f t="shared" si="2"/>
        <v>45168</v>
      </c>
      <c r="D32" s="24">
        <f t="shared" si="1"/>
        <v>45168</v>
      </c>
      <c r="F32" s="26"/>
    </row>
    <row r="33">
      <c r="A33" s="22"/>
      <c r="C33" s="18">
        <f t="shared" si="2"/>
        <v>45169</v>
      </c>
      <c r="D33" s="24">
        <f t="shared" si="1"/>
        <v>45169</v>
      </c>
      <c r="F33" s="47" t="s">
        <v>28</v>
      </c>
      <c r="H33" s="21" t="s">
        <v>126</v>
      </c>
    </row>
    <row r="34">
      <c r="A34" s="22"/>
      <c r="C34" s="18">
        <f t="shared" si="2"/>
        <v>45170</v>
      </c>
      <c r="D34" s="24">
        <f t="shared" si="1"/>
        <v>45170</v>
      </c>
    </row>
    <row r="35">
      <c r="A35" s="22"/>
      <c r="C35" s="18">
        <f t="shared" si="2"/>
        <v>45171</v>
      </c>
      <c r="D35" s="24">
        <f t="shared" si="1"/>
        <v>45171</v>
      </c>
    </row>
    <row r="36">
      <c r="A36" s="22"/>
      <c r="B36" s="39"/>
      <c r="C36" s="18">
        <f t="shared" si="2"/>
        <v>45172</v>
      </c>
      <c r="D36" s="24">
        <f t="shared" si="1"/>
        <v>45172</v>
      </c>
      <c r="E36" s="32"/>
      <c r="F36" s="32"/>
      <c r="G36" s="31"/>
      <c r="H36" s="31"/>
      <c r="I36" s="32"/>
      <c r="J36" s="32"/>
    </row>
    <row r="37">
      <c r="A37" s="22"/>
      <c r="B37" s="34">
        <f>B30+1</f>
        <v>36</v>
      </c>
      <c r="C37" s="35">
        <f t="shared" si="2"/>
        <v>45173</v>
      </c>
      <c r="D37" s="36">
        <f t="shared" si="1"/>
        <v>45173</v>
      </c>
    </row>
    <row r="38">
      <c r="A38" s="22"/>
      <c r="C38" s="18">
        <f t="shared" si="2"/>
        <v>45174</v>
      </c>
      <c r="D38" s="24">
        <f t="shared" si="1"/>
        <v>45174</v>
      </c>
    </row>
    <row r="39">
      <c r="A39" s="22"/>
      <c r="C39" s="18">
        <f t="shared" si="2"/>
        <v>45175</v>
      </c>
      <c r="D39" s="24">
        <f t="shared" si="1"/>
        <v>45175</v>
      </c>
    </row>
    <row r="40">
      <c r="A40" s="22"/>
      <c r="C40" s="18">
        <f t="shared" si="2"/>
        <v>45176</v>
      </c>
      <c r="D40" s="24">
        <f t="shared" si="1"/>
        <v>45176</v>
      </c>
    </row>
    <row r="41">
      <c r="A41" s="22"/>
      <c r="C41" s="18">
        <f t="shared" si="2"/>
        <v>45177</v>
      </c>
      <c r="D41" s="24">
        <f t="shared" si="1"/>
        <v>45177</v>
      </c>
    </row>
    <row r="42">
      <c r="A42" s="22"/>
      <c r="C42" s="18">
        <f t="shared" si="2"/>
        <v>45178</v>
      </c>
      <c r="D42" s="24">
        <f t="shared" si="1"/>
        <v>45178</v>
      </c>
    </row>
    <row r="43">
      <c r="A43" s="22"/>
      <c r="B43" s="39"/>
      <c r="C43" s="42">
        <f t="shared" si="2"/>
        <v>45179</v>
      </c>
      <c r="D43" s="43">
        <f t="shared" si="1"/>
        <v>45179</v>
      </c>
      <c r="E43" s="31"/>
      <c r="F43" s="31"/>
      <c r="G43" s="31"/>
      <c r="H43" s="31"/>
      <c r="I43" s="31"/>
      <c r="J43" s="31"/>
    </row>
  </sheetData>
  <mergeCells count="7">
    <mergeCell ref="A2:A43"/>
    <mergeCell ref="B2:B8"/>
    <mergeCell ref="B9:B15"/>
    <mergeCell ref="B16:B22"/>
    <mergeCell ref="B23:B29"/>
    <mergeCell ref="B30:B36"/>
    <mergeCell ref="B37:B43"/>
  </mergeCells>
  <conditionalFormatting sqref="C2:C43">
    <cfRule type="timePeriod" dxfId="2" priority="3" timePeriod="today"/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5"/>
    <col customWidth="1" min="3" max="3" width="2.88"/>
    <col customWidth="1" min="4" max="4" width="7.5"/>
    <col customWidth="1" min="7" max="7" width="18.88"/>
    <col customWidth="1" min="8" max="8" width="14.25"/>
    <col customWidth="1" min="9" max="9" width="22.63"/>
    <col customWidth="1" min="10" max="10" width="25.38"/>
    <col customWidth="1" min="14" max="14" width="23.63"/>
  </cols>
  <sheetData>
    <row r="1">
      <c r="A1" s="82">
        <v>45170.0</v>
      </c>
      <c r="B1" s="12" t="s">
        <v>13</v>
      </c>
      <c r="C1" s="13"/>
      <c r="D1" s="14"/>
      <c r="E1" s="15" t="s">
        <v>5</v>
      </c>
      <c r="F1" s="15" t="s">
        <v>14</v>
      </c>
      <c r="G1" s="12"/>
      <c r="H1" s="12"/>
      <c r="I1" s="12" t="s">
        <v>15</v>
      </c>
      <c r="J1" s="12" t="s">
        <v>16</v>
      </c>
    </row>
    <row r="2">
      <c r="A2" s="16">
        <f>A1</f>
        <v>45170</v>
      </c>
      <c r="B2" s="17">
        <f>WEEKNUM(A1)</f>
        <v>35</v>
      </c>
      <c r="C2" s="18">
        <f>A1-WEEKDAY(A1,2)+1</f>
        <v>45166</v>
      </c>
      <c r="D2" s="19">
        <f t="shared" ref="D2:D43" si="1">C2</f>
        <v>45166</v>
      </c>
      <c r="N2" s="21"/>
    </row>
    <row r="3">
      <c r="A3" s="22"/>
      <c r="B3" s="23"/>
      <c r="C3" s="18">
        <f t="shared" ref="C3:C43" si="2">C2+1</f>
        <v>45167</v>
      </c>
      <c r="D3" s="24">
        <f t="shared" si="1"/>
        <v>45167</v>
      </c>
      <c r="N3" s="21"/>
    </row>
    <row r="4">
      <c r="A4" s="22"/>
      <c r="B4" s="23"/>
      <c r="C4" s="18">
        <f t="shared" si="2"/>
        <v>45168</v>
      </c>
      <c r="D4" s="24">
        <f t="shared" si="1"/>
        <v>45168</v>
      </c>
      <c r="N4" s="21"/>
    </row>
    <row r="5">
      <c r="A5" s="22"/>
      <c r="B5" s="23"/>
      <c r="C5" s="18">
        <f t="shared" si="2"/>
        <v>45169</v>
      </c>
      <c r="D5" s="24">
        <f t="shared" si="1"/>
        <v>45169</v>
      </c>
      <c r="M5" s="26"/>
      <c r="N5" s="21" t="s">
        <v>17</v>
      </c>
    </row>
    <row r="6">
      <c r="A6" s="22"/>
      <c r="B6" s="23"/>
      <c r="C6" s="18">
        <f t="shared" si="2"/>
        <v>45170</v>
      </c>
      <c r="D6" s="24">
        <f t="shared" si="1"/>
        <v>45170</v>
      </c>
      <c r="E6" s="26"/>
      <c r="J6" s="21" t="s">
        <v>127</v>
      </c>
      <c r="M6" s="28"/>
      <c r="N6" s="21" t="s">
        <v>18</v>
      </c>
    </row>
    <row r="7">
      <c r="A7" s="22"/>
      <c r="B7" s="23"/>
      <c r="C7" s="18">
        <f t="shared" si="2"/>
        <v>45171</v>
      </c>
      <c r="D7" s="24">
        <f t="shared" si="1"/>
        <v>45171</v>
      </c>
      <c r="E7" s="26"/>
      <c r="J7" s="21" t="s">
        <v>127</v>
      </c>
    </row>
    <row r="8">
      <c r="A8" s="22"/>
      <c r="B8" s="30"/>
      <c r="C8" s="18">
        <f t="shared" si="2"/>
        <v>45172</v>
      </c>
      <c r="D8" s="24">
        <f t="shared" si="1"/>
        <v>45172</v>
      </c>
      <c r="E8" s="58"/>
      <c r="F8" s="32"/>
      <c r="G8" s="32"/>
      <c r="H8" s="32"/>
      <c r="I8" s="32"/>
      <c r="J8" s="32" t="s">
        <v>127</v>
      </c>
      <c r="M8" s="1"/>
      <c r="N8" s="90"/>
    </row>
    <row r="9">
      <c r="A9" s="22"/>
      <c r="B9" s="34">
        <f>B2+1</f>
        <v>36</v>
      </c>
      <c r="C9" s="35">
        <f t="shared" si="2"/>
        <v>45173</v>
      </c>
      <c r="D9" s="36">
        <f t="shared" si="1"/>
        <v>45173</v>
      </c>
      <c r="F9" s="26"/>
      <c r="G9" s="20"/>
      <c r="H9" s="20"/>
      <c r="I9" s="20"/>
      <c r="J9" s="20"/>
      <c r="M9" s="1"/>
      <c r="N9" s="90"/>
    </row>
    <row r="10">
      <c r="A10" s="22"/>
      <c r="C10" s="18">
        <f t="shared" si="2"/>
        <v>45174</v>
      </c>
      <c r="D10" s="24">
        <f t="shared" si="1"/>
        <v>45174</v>
      </c>
      <c r="F10" s="47" t="s">
        <v>59</v>
      </c>
      <c r="G10" s="21" t="s">
        <v>128</v>
      </c>
      <c r="M10" s="1"/>
      <c r="N10" s="1"/>
    </row>
    <row r="11">
      <c r="A11" s="22"/>
      <c r="C11" s="18">
        <f t="shared" si="2"/>
        <v>45175</v>
      </c>
      <c r="D11" s="24">
        <f t="shared" si="1"/>
        <v>45175</v>
      </c>
      <c r="E11" s="26"/>
      <c r="M11" s="1"/>
      <c r="N11" s="1"/>
    </row>
    <row r="12">
      <c r="A12" s="22"/>
      <c r="C12" s="18">
        <f t="shared" si="2"/>
        <v>45176</v>
      </c>
      <c r="D12" s="24">
        <f t="shared" si="1"/>
        <v>45176</v>
      </c>
      <c r="E12" s="26"/>
      <c r="K12" s="38"/>
      <c r="M12" s="1"/>
      <c r="N12" s="1"/>
    </row>
    <row r="13">
      <c r="A13" s="22"/>
      <c r="C13" s="18">
        <f t="shared" si="2"/>
        <v>45177</v>
      </c>
      <c r="D13" s="24">
        <f t="shared" si="1"/>
        <v>45177</v>
      </c>
      <c r="F13" s="26"/>
    </row>
    <row r="14">
      <c r="A14" s="22"/>
      <c r="C14" s="18">
        <f t="shared" si="2"/>
        <v>45178</v>
      </c>
      <c r="D14" s="24">
        <f t="shared" si="1"/>
        <v>45178</v>
      </c>
      <c r="F14" s="26"/>
    </row>
    <row r="15">
      <c r="A15" s="22"/>
      <c r="B15" s="39"/>
      <c r="C15" s="18">
        <f t="shared" si="2"/>
        <v>45179</v>
      </c>
      <c r="D15" s="24">
        <f t="shared" si="1"/>
        <v>45179</v>
      </c>
      <c r="E15" s="31"/>
      <c r="F15" s="58"/>
      <c r="G15" s="31"/>
      <c r="H15" s="31"/>
      <c r="I15" s="31"/>
      <c r="J15" s="31"/>
    </row>
    <row r="16">
      <c r="A16" s="22"/>
      <c r="B16" s="34">
        <f>B9+1</f>
        <v>37</v>
      </c>
      <c r="C16" s="35">
        <f t="shared" si="2"/>
        <v>45180</v>
      </c>
      <c r="D16" s="36">
        <f t="shared" si="1"/>
        <v>45180</v>
      </c>
      <c r="E16" s="75"/>
      <c r="F16" s="20"/>
      <c r="G16" s="21" t="s">
        <v>129</v>
      </c>
      <c r="H16" s="21" t="s">
        <v>130</v>
      </c>
      <c r="I16" s="20"/>
      <c r="J16" s="20"/>
    </row>
    <row r="17">
      <c r="A17" s="22"/>
      <c r="C17" s="18">
        <f t="shared" si="2"/>
        <v>45181</v>
      </c>
      <c r="D17" s="24">
        <f t="shared" si="1"/>
        <v>45181</v>
      </c>
      <c r="E17" s="26"/>
      <c r="G17" s="21" t="s">
        <v>129</v>
      </c>
      <c r="H17" s="21" t="s">
        <v>130</v>
      </c>
    </row>
    <row r="18">
      <c r="A18" s="22"/>
      <c r="C18" s="18">
        <f t="shared" si="2"/>
        <v>45182</v>
      </c>
      <c r="D18" s="24">
        <f t="shared" si="1"/>
        <v>45182</v>
      </c>
      <c r="F18" s="26"/>
      <c r="G18" s="21" t="s">
        <v>129</v>
      </c>
      <c r="H18" s="21" t="s">
        <v>130</v>
      </c>
      <c r="M18" s="83"/>
    </row>
    <row r="19">
      <c r="A19" s="22"/>
      <c r="C19" s="18">
        <f t="shared" si="2"/>
        <v>45183</v>
      </c>
      <c r="D19" s="24">
        <f t="shared" si="1"/>
        <v>45183</v>
      </c>
      <c r="F19" s="26"/>
      <c r="G19" s="21"/>
      <c r="M19" s="84"/>
    </row>
    <row r="20">
      <c r="A20" s="22"/>
      <c r="C20" s="18">
        <f t="shared" si="2"/>
        <v>45184</v>
      </c>
      <c r="D20" s="24">
        <f t="shared" si="1"/>
        <v>45184</v>
      </c>
      <c r="E20" s="26"/>
    </row>
    <row r="21">
      <c r="A21" s="22"/>
      <c r="C21" s="18">
        <f t="shared" si="2"/>
        <v>45185</v>
      </c>
      <c r="D21" s="24">
        <f t="shared" si="1"/>
        <v>45185</v>
      </c>
      <c r="E21" s="26"/>
    </row>
    <row r="22">
      <c r="A22" s="22"/>
      <c r="B22" s="39"/>
      <c r="C22" s="18">
        <f t="shared" si="2"/>
        <v>45186</v>
      </c>
      <c r="D22" s="24">
        <f t="shared" si="1"/>
        <v>45186</v>
      </c>
      <c r="E22" s="58"/>
      <c r="F22" s="31"/>
      <c r="G22" s="31"/>
      <c r="H22" s="31"/>
      <c r="I22" s="32"/>
      <c r="J22" s="31"/>
    </row>
    <row r="23">
      <c r="A23" s="22"/>
      <c r="B23" s="34">
        <f>B16+1</f>
        <v>38</v>
      </c>
      <c r="C23" s="35">
        <f t="shared" si="2"/>
        <v>45187</v>
      </c>
      <c r="D23" s="36">
        <f t="shared" si="1"/>
        <v>45187</v>
      </c>
      <c r="F23" s="26"/>
      <c r="G23" s="20"/>
      <c r="H23" s="20"/>
      <c r="J23" s="20"/>
    </row>
    <row r="24">
      <c r="A24" s="22"/>
      <c r="C24" s="18">
        <f t="shared" si="2"/>
        <v>45188</v>
      </c>
      <c r="D24" s="24">
        <f t="shared" si="1"/>
        <v>45188</v>
      </c>
      <c r="F24" s="26"/>
    </row>
    <row r="25">
      <c r="A25" s="22"/>
      <c r="C25" s="18">
        <f t="shared" si="2"/>
        <v>45189</v>
      </c>
      <c r="D25" s="24">
        <f t="shared" si="1"/>
        <v>45189</v>
      </c>
      <c r="E25" s="26"/>
    </row>
    <row r="26">
      <c r="A26" s="22"/>
      <c r="C26" s="18">
        <f t="shared" si="2"/>
        <v>45190</v>
      </c>
      <c r="D26" s="24">
        <f t="shared" si="1"/>
        <v>45190</v>
      </c>
      <c r="E26" s="26"/>
    </row>
    <row r="27">
      <c r="A27" s="22"/>
      <c r="C27" s="18">
        <f t="shared" si="2"/>
        <v>45191</v>
      </c>
      <c r="D27" s="24">
        <f t="shared" si="1"/>
        <v>45191</v>
      </c>
      <c r="F27" s="26"/>
    </row>
    <row r="28">
      <c r="A28" s="22"/>
      <c r="C28" s="18">
        <f t="shared" si="2"/>
        <v>45192</v>
      </c>
      <c r="D28" s="24">
        <f t="shared" si="1"/>
        <v>45192</v>
      </c>
      <c r="F28" s="26"/>
    </row>
    <row r="29">
      <c r="A29" s="22"/>
      <c r="B29" s="39"/>
      <c r="C29" s="18">
        <f t="shared" si="2"/>
        <v>45193</v>
      </c>
      <c r="D29" s="24">
        <f t="shared" si="1"/>
        <v>45193</v>
      </c>
      <c r="E29" s="31"/>
      <c r="F29" s="58"/>
      <c r="G29" s="31"/>
      <c r="H29" s="31"/>
      <c r="I29" s="32"/>
      <c r="J29" s="31"/>
    </row>
    <row r="30">
      <c r="A30" s="22"/>
      <c r="B30" s="34">
        <f>B23+1</f>
        <v>39</v>
      </c>
      <c r="C30" s="35">
        <f t="shared" si="2"/>
        <v>45194</v>
      </c>
      <c r="D30" s="36">
        <f t="shared" si="1"/>
        <v>45194</v>
      </c>
      <c r="E30" s="75"/>
      <c r="F30" s="20"/>
      <c r="G30" s="20"/>
      <c r="J30" s="20"/>
    </row>
    <row r="31">
      <c r="A31" s="22"/>
      <c r="C31" s="18">
        <f t="shared" si="2"/>
        <v>45195</v>
      </c>
      <c r="D31" s="24">
        <f t="shared" si="1"/>
        <v>45195</v>
      </c>
      <c r="E31" s="26"/>
    </row>
    <row r="32">
      <c r="A32" s="22"/>
      <c r="C32" s="18">
        <f t="shared" si="2"/>
        <v>45196</v>
      </c>
      <c r="D32" s="24">
        <f t="shared" si="1"/>
        <v>45196</v>
      </c>
      <c r="F32" s="26"/>
    </row>
    <row r="33">
      <c r="A33" s="22"/>
      <c r="C33" s="18">
        <f t="shared" si="2"/>
        <v>45197</v>
      </c>
      <c r="D33" s="24">
        <f t="shared" si="1"/>
        <v>45197</v>
      </c>
      <c r="F33" s="26"/>
    </row>
    <row r="34">
      <c r="A34" s="22"/>
      <c r="C34" s="18">
        <f t="shared" si="2"/>
        <v>45198</v>
      </c>
      <c r="D34" s="24">
        <f t="shared" si="1"/>
        <v>45198</v>
      </c>
      <c r="E34" s="26"/>
      <c r="F34" s="21" t="s">
        <v>131</v>
      </c>
      <c r="J34" s="21" t="s">
        <v>132</v>
      </c>
    </row>
    <row r="35">
      <c r="A35" s="22"/>
      <c r="C35" s="18">
        <f t="shared" si="2"/>
        <v>45199</v>
      </c>
      <c r="D35" s="24">
        <f t="shared" si="1"/>
        <v>45199</v>
      </c>
      <c r="E35" s="26"/>
      <c r="J35" s="21" t="s">
        <v>106</v>
      </c>
    </row>
    <row r="36">
      <c r="A36" s="22"/>
      <c r="B36" s="39"/>
      <c r="C36" s="18">
        <f t="shared" si="2"/>
        <v>45200</v>
      </c>
      <c r="D36" s="24">
        <f t="shared" si="1"/>
        <v>45200</v>
      </c>
      <c r="E36" s="31"/>
      <c r="F36" s="31"/>
    </row>
    <row r="37">
      <c r="A37" s="22"/>
      <c r="B37" s="34">
        <f>B30+1</f>
        <v>40</v>
      </c>
      <c r="C37" s="35">
        <f t="shared" si="2"/>
        <v>45201</v>
      </c>
      <c r="D37" s="36">
        <f t="shared" si="1"/>
        <v>45201</v>
      </c>
      <c r="G37" s="20"/>
      <c r="H37" s="20"/>
      <c r="I37" s="20"/>
      <c r="J37" s="20"/>
    </row>
    <row r="38">
      <c r="A38" s="22"/>
      <c r="C38" s="18">
        <f t="shared" si="2"/>
        <v>45202</v>
      </c>
      <c r="D38" s="24">
        <f t="shared" si="1"/>
        <v>45202</v>
      </c>
    </row>
    <row r="39">
      <c r="A39" s="22"/>
      <c r="C39" s="18">
        <f t="shared" si="2"/>
        <v>45203</v>
      </c>
      <c r="D39" s="24">
        <f t="shared" si="1"/>
        <v>45203</v>
      </c>
    </row>
    <row r="40">
      <c r="A40" s="22"/>
      <c r="C40" s="18">
        <f t="shared" si="2"/>
        <v>45204</v>
      </c>
      <c r="D40" s="24">
        <f t="shared" si="1"/>
        <v>45204</v>
      </c>
    </row>
    <row r="41">
      <c r="A41" s="22"/>
      <c r="C41" s="18">
        <f t="shared" si="2"/>
        <v>45205</v>
      </c>
      <c r="D41" s="24">
        <f t="shared" si="1"/>
        <v>45205</v>
      </c>
    </row>
    <row r="42">
      <c r="A42" s="22"/>
      <c r="C42" s="18">
        <f t="shared" si="2"/>
        <v>45206</v>
      </c>
      <c r="D42" s="24">
        <f t="shared" si="1"/>
        <v>45206</v>
      </c>
    </row>
    <row r="43">
      <c r="A43" s="22"/>
      <c r="B43" s="39"/>
      <c r="C43" s="42">
        <f t="shared" si="2"/>
        <v>45207</v>
      </c>
      <c r="D43" s="43">
        <f t="shared" si="1"/>
        <v>45207</v>
      </c>
      <c r="E43" s="31"/>
      <c r="F43" s="31"/>
      <c r="G43" s="31"/>
      <c r="H43" s="31"/>
      <c r="I43" s="31"/>
      <c r="J43" s="31"/>
    </row>
  </sheetData>
  <customSheetViews>
    <customSheetView guid="{B0FBDFEB-B37F-41B8-ADCA-EB339C5C0668}" filter="1" showAutoFilter="1">
      <autoFilter ref="$C$1:$C$1003">
        <filterColumn colId="0">
          <filters>
            <filter val="22"/>
            <filter val="23"/>
            <filter val="24"/>
            <filter val="25"/>
            <filter val="26"/>
            <filter val="27"/>
            <filter val="28"/>
            <filter val="29"/>
            <filter val="30"/>
            <filter val="31"/>
            <filter val="10"/>
            <filter val="11"/>
            <filter val="12"/>
            <filter val="13"/>
            <filter val="14"/>
            <filter val="15"/>
            <filter val="16"/>
            <filter val="17"/>
            <filter val="18"/>
            <filter val="19"/>
            <filter val="1"/>
            <filter val="2"/>
            <filter val="3"/>
            <filter val="4"/>
            <filter val="5"/>
            <filter val="6"/>
            <filter val="7"/>
            <filter val="8"/>
            <filter val="9"/>
            <filter val="20"/>
            <filter val="21"/>
          </filters>
        </filterColumn>
      </autoFilter>
    </customSheetView>
  </customSheetViews>
  <mergeCells count="7">
    <mergeCell ref="A2:A43"/>
    <mergeCell ref="B2:B8"/>
    <mergeCell ref="B9:B15"/>
    <mergeCell ref="B16:B22"/>
    <mergeCell ref="B23:B29"/>
    <mergeCell ref="B30:B36"/>
    <mergeCell ref="B37:B43"/>
  </mergeCells>
  <conditionalFormatting sqref="C2:C43">
    <cfRule type="timePeriod" dxfId="2" priority="3" timePeriod="today"/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5"/>
    <col customWidth="1" min="3" max="3" width="2.88"/>
    <col customWidth="1" min="4" max="4" width="7.5"/>
    <col customWidth="1" min="7" max="7" width="16.88"/>
    <col customWidth="1" min="8" max="8" width="13.38"/>
    <col customWidth="1" min="9" max="9" width="22.63"/>
    <col customWidth="1" min="10" max="10" width="25.38"/>
    <col customWidth="1" min="14" max="14" width="23.63"/>
  </cols>
  <sheetData>
    <row r="1">
      <c r="A1" s="82">
        <v>45200.0</v>
      </c>
      <c r="B1" s="12" t="s">
        <v>13</v>
      </c>
      <c r="C1" s="13"/>
      <c r="D1" s="14"/>
      <c r="E1" s="15" t="s">
        <v>5</v>
      </c>
      <c r="F1" s="15" t="s">
        <v>14</v>
      </c>
      <c r="G1" s="12"/>
      <c r="H1" s="12"/>
      <c r="I1" s="12" t="s">
        <v>15</v>
      </c>
      <c r="J1" s="12" t="s">
        <v>16</v>
      </c>
    </row>
    <row r="2">
      <c r="A2" s="16">
        <f>A1</f>
        <v>45200</v>
      </c>
      <c r="B2" s="17">
        <f>WEEKNUM(A1)</f>
        <v>40</v>
      </c>
      <c r="C2" s="18">
        <f>A1-WEEKDAY(A1,2)+1</f>
        <v>45194</v>
      </c>
      <c r="D2" s="19">
        <f t="shared" ref="D2:D43" si="1">C2</f>
        <v>45194</v>
      </c>
      <c r="N2" s="21"/>
    </row>
    <row r="3">
      <c r="A3" s="22"/>
      <c r="B3" s="23"/>
      <c r="C3" s="18">
        <f t="shared" ref="C3:C43" si="2">C2+1</f>
        <v>45195</v>
      </c>
      <c r="D3" s="24">
        <f t="shared" si="1"/>
        <v>45195</v>
      </c>
      <c r="N3" s="21"/>
    </row>
    <row r="4">
      <c r="A4" s="22"/>
      <c r="B4" s="23"/>
      <c r="C4" s="18">
        <f t="shared" si="2"/>
        <v>45196</v>
      </c>
      <c r="D4" s="24">
        <f t="shared" si="1"/>
        <v>45196</v>
      </c>
      <c r="N4" s="21"/>
    </row>
    <row r="5">
      <c r="A5" s="22"/>
      <c r="B5" s="23"/>
      <c r="C5" s="18">
        <f t="shared" si="2"/>
        <v>45197</v>
      </c>
      <c r="D5" s="24">
        <f t="shared" si="1"/>
        <v>45197</v>
      </c>
      <c r="M5" s="26"/>
      <c r="N5" s="21" t="s">
        <v>17</v>
      </c>
    </row>
    <row r="6">
      <c r="A6" s="22"/>
      <c r="B6" s="23"/>
      <c r="C6" s="18">
        <f t="shared" si="2"/>
        <v>45198</v>
      </c>
      <c r="D6" s="24">
        <f t="shared" si="1"/>
        <v>45198</v>
      </c>
      <c r="M6" s="28"/>
      <c r="N6" s="21" t="s">
        <v>18</v>
      </c>
    </row>
    <row r="7">
      <c r="A7" s="22"/>
      <c r="B7" s="23"/>
      <c r="C7" s="18">
        <f t="shared" si="2"/>
        <v>45199</v>
      </c>
      <c r="D7" s="24">
        <f t="shared" si="1"/>
        <v>45199</v>
      </c>
    </row>
    <row r="8">
      <c r="A8" s="22"/>
      <c r="B8" s="30"/>
      <c r="C8" s="18">
        <f t="shared" si="2"/>
        <v>45200</v>
      </c>
      <c r="D8" s="24">
        <f t="shared" si="1"/>
        <v>45200</v>
      </c>
      <c r="E8" s="58"/>
      <c r="F8" s="32"/>
      <c r="G8" s="32"/>
      <c r="H8" s="32"/>
      <c r="I8" s="32"/>
      <c r="J8" s="31"/>
      <c r="M8" s="1"/>
      <c r="N8" s="90"/>
    </row>
    <row r="9">
      <c r="A9" s="22"/>
      <c r="B9" s="34">
        <f>B2</f>
        <v>40</v>
      </c>
      <c r="C9" s="35">
        <f t="shared" si="2"/>
        <v>45201</v>
      </c>
      <c r="D9" s="36">
        <f t="shared" si="1"/>
        <v>45201</v>
      </c>
      <c r="F9" s="47" t="s">
        <v>28</v>
      </c>
      <c r="G9" s="20"/>
      <c r="H9" s="20"/>
      <c r="I9" s="20"/>
      <c r="J9" s="20"/>
      <c r="M9" s="1"/>
      <c r="N9" s="90"/>
    </row>
    <row r="10">
      <c r="A10" s="22"/>
      <c r="C10" s="18">
        <f t="shared" si="2"/>
        <v>45202</v>
      </c>
      <c r="D10" s="24">
        <f t="shared" si="1"/>
        <v>45202</v>
      </c>
      <c r="F10" s="26"/>
      <c r="M10" s="1"/>
      <c r="N10" s="1"/>
    </row>
    <row r="11">
      <c r="A11" s="22"/>
      <c r="C11" s="18">
        <f t="shared" si="2"/>
        <v>45203</v>
      </c>
      <c r="D11" s="24">
        <f t="shared" si="1"/>
        <v>45203</v>
      </c>
      <c r="E11" s="26"/>
      <c r="M11" s="1"/>
      <c r="N11" s="1"/>
    </row>
    <row r="12">
      <c r="A12" s="22"/>
      <c r="C12" s="18">
        <f t="shared" si="2"/>
        <v>45204</v>
      </c>
      <c r="D12" s="24">
        <f t="shared" si="1"/>
        <v>45204</v>
      </c>
      <c r="E12" s="26"/>
      <c r="G12" s="21" t="s">
        <v>133</v>
      </c>
      <c r="K12" s="38"/>
      <c r="M12" s="1"/>
      <c r="N12" s="1"/>
    </row>
    <row r="13">
      <c r="A13" s="22"/>
      <c r="C13" s="18">
        <f t="shared" si="2"/>
        <v>45205</v>
      </c>
      <c r="D13" s="24">
        <f t="shared" si="1"/>
        <v>45205</v>
      </c>
      <c r="F13" s="26"/>
    </row>
    <row r="14">
      <c r="A14" s="22"/>
      <c r="C14" s="18">
        <f t="shared" si="2"/>
        <v>45206</v>
      </c>
      <c r="D14" s="24">
        <f t="shared" si="1"/>
        <v>45206</v>
      </c>
      <c r="F14" s="26"/>
    </row>
    <row r="15">
      <c r="A15" s="22"/>
      <c r="B15" s="39"/>
      <c r="C15" s="18">
        <f t="shared" si="2"/>
        <v>45207</v>
      </c>
      <c r="D15" s="24">
        <f t="shared" si="1"/>
        <v>45207</v>
      </c>
      <c r="E15" s="31"/>
      <c r="F15" s="58"/>
      <c r="G15" s="31"/>
      <c r="H15" s="31"/>
      <c r="I15" s="31"/>
      <c r="J15" s="31"/>
    </row>
    <row r="16">
      <c r="A16" s="22"/>
      <c r="B16" s="34">
        <f>B9+1</f>
        <v>41</v>
      </c>
      <c r="C16" s="35">
        <f t="shared" si="2"/>
        <v>45208</v>
      </c>
      <c r="D16" s="36">
        <f t="shared" si="1"/>
        <v>45208</v>
      </c>
      <c r="E16" s="26"/>
      <c r="I16" s="20"/>
      <c r="J16" s="20"/>
    </row>
    <row r="17">
      <c r="A17" s="22"/>
      <c r="C17" s="18">
        <f t="shared" si="2"/>
        <v>45209</v>
      </c>
      <c r="D17" s="24">
        <f t="shared" si="1"/>
        <v>45209</v>
      </c>
      <c r="E17" s="26"/>
    </row>
    <row r="18">
      <c r="A18" s="22"/>
      <c r="C18" s="18">
        <f t="shared" si="2"/>
        <v>45210</v>
      </c>
      <c r="D18" s="24">
        <f t="shared" si="1"/>
        <v>45210</v>
      </c>
      <c r="F18" s="26"/>
      <c r="M18" s="83"/>
    </row>
    <row r="19">
      <c r="A19" s="22"/>
      <c r="C19" s="18">
        <f t="shared" si="2"/>
        <v>45211</v>
      </c>
      <c r="D19" s="24">
        <f t="shared" si="1"/>
        <v>45211</v>
      </c>
      <c r="F19" s="26"/>
      <c r="G19" s="21"/>
      <c r="M19" s="84"/>
    </row>
    <row r="20">
      <c r="A20" s="22"/>
      <c r="C20" s="18">
        <f t="shared" si="2"/>
        <v>45212</v>
      </c>
      <c r="D20" s="24">
        <f t="shared" si="1"/>
        <v>45212</v>
      </c>
      <c r="E20" s="26"/>
    </row>
    <row r="21">
      <c r="A21" s="22"/>
      <c r="C21" s="18">
        <f t="shared" si="2"/>
        <v>45213</v>
      </c>
      <c r="D21" s="24">
        <f t="shared" si="1"/>
        <v>45213</v>
      </c>
      <c r="E21" s="26"/>
    </row>
    <row r="22">
      <c r="A22" s="22"/>
      <c r="B22" s="39"/>
      <c r="C22" s="18">
        <f t="shared" si="2"/>
        <v>45214</v>
      </c>
      <c r="D22" s="24">
        <f t="shared" si="1"/>
        <v>45214</v>
      </c>
      <c r="E22" s="58"/>
      <c r="F22" s="31"/>
      <c r="G22" s="31"/>
      <c r="H22" s="31"/>
      <c r="I22" s="32"/>
      <c r="J22" s="31"/>
    </row>
    <row r="23">
      <c r="A23" s="22"/>
      <c r="B23" s="34">
        <f>B16+1</f>
        <v>42</v>
      </c>
      <c r="C23" s="35">
        <f t="shared" si="2"/>
        <v>45215</v>
      </c>
      <c r="D23" s="36">
        <f t="shared" si="1"/>
        <v>45215</v>
      </c>
      <c r="F23" s="26"/>
      <c r="G23" s="20"/>
      <c r="H23" s="20"/>
      <c r="J23" s="20"/>
    </row>
    <row r="24">
      <c r="A24" s="22"/>
      <c r="C24" s="18">
        <f t="shared" si="2"/>
        <v>45216</v>
      </c>
      <c r="D24" s="24">
        <f t="shared" si="1"/>
        <v>45216</v>
      </c>
      <c r="F24" s="26"/>
    </row>
    <row r="25">
      <c r="A25" s="22"/>
      <c r="C25" s="18">
        <f t="shared" si="2"/>
        <v>45217</v>
      </c>
      <c r="D25" s="24">
        <f t="shared" si="1"/>
        <v>45217</v>
      </c>
      <c r="E25" s="26"/>
    </row>
    <row r="26">
      <c r="A26" s="22"/>
      <c r="C26" s="18">
        <f t="shared" si="2"/>
        <v>45218</v>
      </c>
      <c r="D26" s="24">
        <f t="shared" si="1"/>
        <v>45218</v>
      </c>
      <c r="E26" s="26"/>
      <c r="I26" s="21" t="s">
        <v>134</v>
      </c>
    </row>
    <row r="27">
      <c r="A27" s="22"/>
      <c r="C27" s="18">
        <f t="shared" si="2"/>
        <v>45219</v>
      </c>
      <c r="D27" s="24">
        <f t="shared" si="1"/>
        <v>45219</v>
      </c>
      <c r="F27" s="47" t="s">
        <v>128</v>
      </c>
      <c r="J27" s="21" t="s">
        <v>135</v>
      </c>
    </row>
    <row r="28">
      <c r="A28" s="22"/>
      <c r="C28" s="18">
        <f t="shared" si="2"/>
        <v>45220</v>
      </c>
      <c r="D28" s="24">
        <f t="shared" si="1"/>
        <v>45220</v>
      </c>
      <c r="F28" s="26"/>
    </row>
    <row r="29">
      <c r="A29" s="22"/>
      <c r="B29" s="39"/>
      <c r="C29" s="18">
        <f t="shared" si="2"/>
        <v>45221</v>
      </c>
      <c r="D29" s="24">
        <f t="shared" si="1"/>
        <v>45221</v>
      </c>
      <c r="E29" s="31"/>
      <c r="F29" s="58"/>
      <c r="G29" s="31"/>
      <c r="H29" s="31"/>
      <c r="I29" s="32"/>
      <c r="J29" s="31"/>
    </row>
    <row r="30">
      <c r="A30" s="22"/>
      <c r="B30" s="34">
        <f>B23+1</f>
        <v>43</v>
      </c>
      <c r="C30" s="35">
        <f t="shared" si="2"/>
        <v>45222</v>
      </c>
      <c r="D30" s="36">
        <f t="shared" si="1"/>
        <v>45222</v>
      </c>
      <c r="E30" s="26"/>
      <c r="G30" s="20"/>
      <c r="J30" s="20"/>
    </row>
    <row r="31">
      <c r="A31" s="22"/>
      <c r="C31" s="18">
        <f t="shared" si="2"/>
        <v>45223</v>
      </c>
      <c r="D31" s="24">
        <f t="shared" si="1"/>
        <v>45223</v>
      </c>
      <c r="E31" s="26"/>
    </row>
    <row r="32">
      <c r="A32" s="22"/>
      <c r="C32" s="18">
        <f t="shared" si="2"/>
        <v>45224</v>
      </c>
      <c r="D32" s="24">
        <f t="shared" si="1"/>
        <v>45224</v>
      </c>
      <c r="F32" s="26"/>
    </row>
    <row r="33">
      <c r="A33" s="22"/>
      <c r="C33" s="18">
        <f t="shared" si="2"/>
        <v>45225</v>
      </c>
      <c r="D33" s="24">
        <f t="shared" si="1"/>
        <v>45225</v>
      </c>
      <c r="F33" s="26"/>
    </row>
    <row r="34">
      <c r="A34" s="22"/>
      <c r="C34" s="18">
        <f t="shared" si="2"/>
        <v>45226</v>
      </c>
      <c r="D34" s="24">
        <f t="shared" si="1"/>
        <v>45226</v>
      </c>
      <c r="E34" s="26"/>
    </row>
    <row r="35">
      <c r="A35" s="22"/>
      <c r="C35" s="18">
        <f t="shared" si="2"/>
        <v>45227</v>
      </c>
      <c r="D35" s="24">
        <f t="shared" si="1"/>
        <v>45227</v>
      </c>
      <c r="E35" s="26"/>
    </row>
    <row r="36">
      <c r="A36" s="22"/>
      <c r="B36" s="39"/>
      <c r="C36" s="18">
        <f t="shared" si="2"/>
        <v>45228</v>
      </c>
      <c r="D36" s="24">
        <f t="shared" si="1"/>
        <v>45228</v>
      </c>
      <c r="E36" s="58"/>
      <c r="F36" s="31"/>
    </row>
    <row r="37">
      <c r="A37" s="22"/>
      <c r="B37" s="34">
        <f>B30+1</f>
        <v>44</v>
      </c>
      <c r="C37" s="35">
        <f t="shared" si="2"/>
        <v>45229</v>
      </c>
      <c r="D37" s="36">
        <f t="shared" si="1"/>
        <v>45229</v>
      </c>
      <c r="F37" s="26"/>
      <c r="G37" s="20"/>
      <c r="H37" s="20"/>
      <c r="I37" s="20"/>
      <c r="J37" s="20"/>
    </row>
    <row r="38">
      <c r="A38" s="22"/>
      <c r="C38" s="18">
        <f t="shared" si="2"/>
        <v>45230</v>
      </c>
      <c r="D38" s="24">
        <f t="shared" si="1"/>
        <v>45230</v>
      </c>
      <c r="F38" s="26"/>
    </row>
    <row r="39">
      <c r="A39" s="22"/>
      <c r="C39" s="18">
        <f t="shared" si="2"/>
        <v>45231</v>
      </c>
      <c r="D39" s="24">
        <f t="shared" si="1"/>
        <v>45231</v>
      </c>
      <c r="F39" s="1"/>
    </row>
    <row r="40">
      <c r="A40" s="22"/>
      <c r="C40" s="18">
        <f t="shared" si="2"/>
        <v>45232</v>
      </c>
      <c r="D40" s="24">
        <f t="shared" si="1"/>
        <v>45232</v>
      </c>
      <c r="F40" s="1"/>
    </row>
    <row r="41">
      <c r="A41" s="22"/>
      <c r="C41" s="18">
        <f t="shared" si="2"/>
        <v>45233</v>
      </c>
      <c r="D41" s="24">
        <f t="shared" si="1"/>
        <v>45233</v>
      </c>
    </row>
    <row r="42">
      <c r="A42" s="22"/>
      <c r="C42" s="18">
        <f t="shared" si="2"/>
        <v>45234</v>
      </c>
      <c r="D42" s="24">
        <f t="shared" si="1"/>
        <v>45234</v>
      </c>
    </row>
    <row r="43">
      <c r="A43" s="22"/>
      <c r="B43" s="39"/>
      <c r="C43" s="42">
        <f t="shared" si="2"/>
        <v>45235</v>
      </c>
      <c r="D43" s="43">
        <f t="shared" si="1"/>
        <v>45235</v>
      </c>
      <c r="E43" s="31"/>
      <c r="F43" s="31"/>
      <c r="G43" s="31"/>
      <c r="H43" s="31"/>
      <c r="I43" s="31"/>
      <c r="J43" s="31"/>
    </row>
  </sheetData>
  <mergeCells count="7">
    <mergeCell ref="A2:A43"/>
    <mergeCell ref="B2:B8"/>
    <mergeCell ref="B9:B15"/>
    <mergeCell ref="B16:B22"/>
    <mergeCell ref="B23:B29"/>
    <mergeCell ref="B30:B36"/>
    <mergeCell ref="B37:B43"/>
  </mergeCells>
  <conditionalFormatting sqref="C2:C43">
    <cfRule type="timePeriod" dxfId="2" priority="3" timePeriod="today"/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5"/>
    <col customWidth="1" min="3" max="3" width="2.88"/>
    <col customWidth="1" min="4" max="4" width="7.5"/>
    <col customWidth="1" min="7" max="7" width="25.75"/>
    <col customWidth="1" min="8" max="8" width="13.38"/>
    <col customWidth="1" min="9" max="9" width="22.63"/>
    <col customWidth="1" min="10" max="10" width="25.38"/>
    <col customWidth="1" min="14" max="14" width="23.63"/>
  </cols>
  <sheetData>
    <row r="1">
      <c r="A1" s="82">
        <v>45231.0</v>
      </c>
      <c r="B1" s="12" t="s">
        <v>13</v>
      </c>
      <c r="C1" s="13"/>
      <c r="D1" s="14"/>
      <c r="E1" s="15" t="s">
        <v>5</v>
      </c>
      <c r="F1" s="15" t="s">
        <v>14</v>
      </c>
      <c r="G1" s="12"/>
      <c r="H1" s="12"/>
      <c r="I1" s="12" t="s">
        <v>15</v>
      </c>
      <c r="J1" s="12" t="s">
        <v>16</v>
      </c>
    </row>
    <row r="2">
      <c r="A2" s="16">
        <f>A1</f>
        <v>45231</v>
      </c>
      <c r="B2" s="17">
        <f>WEEKNUM(A1)</f>
        <v>44</v>
      </c>
      <c r="C2" s="18">
        <f>A1-WEEKDAY(A1,2)+1</f>
        <v>45229</v>
      </c>
      <c r="D2" s="19">
        <f t="shared" ref="D2:D43" si="1">C2</f>
        <v>45229</v>
      </c>
      <c r="N2" s="21"/>
    </row>
    <row r="3">
      <c r="A3" s="22"/>
      <c r="B3" s="23"/>
      <c r="C3" s="18">
        <f t="shared" ref="C3:C43" si="2">C2+1</f>
        <v>45230</v>
      </c>
      <c r="D3" s="24">
        <f t="shared" si="1"/>
        <v>45230</v>
      </c>
      <c r="N3" s="21"/>
    </row>
    <row r="4">
      <c r="A4" s="22"/>
      <c r="B4" s="23"/>
      <c r="C4" s="18">
        <f t="shared" si="2"/>
        <v>45231</v>
      </c>
      <c r="D4" s="24">
        <f t="shared" si="1"/>
        <v>45231</v>
      </c>
      <c r="E4" s="26"/>
      <c r="N4" s="21"/>
    </row>
    <row r="5">
      <c r="A5" s="22"/>
      <c r="B5" s="23"/>
      <c r="C5" s="18">
        <f t="shared" si="2"/>
        <v>45232</v>
      </c>
      <c r="D5" s="24">
        <f t="shared" si="1"/>
        <v>45232</v>
      </c>
      <c r="E5" s="26"/>
      <c r="J5" s="21" t="s">
        <v>136</v>
      </c>
      <c r="M5" s="26"/>
      <c r="N5" s="21" t="s">
        <v>17</v>
      </c>
    </row>
    <row r="6">
      <c r="A6" s="22"/>
      <c r="B6" s="23"/>
      <c r="C6" s="18">
        <f t="shared" si="2"/>
        <v>45233</v>
      </c>
      <c r="D6" s="24">
        <f t="shared" si="1"/>
        <v>45233</v>
      </c>
      <c r="F6" s="26"/>
      <c r="J6" s="21" t="s">
        <v>137</v>
      </c>
      <c r="M6" s="28"/>
      <c r="N6" s="21" t="s">
        <v>18</v>
      </c>
    </row>
    <row r="7">
      <c r="A7" s="22"/>
      <c r="B7" s="23"/>
      <c r="C7" s="18">
        <f t="shared" si="2"/>
        <v>45234</v>
      </c>
      <c r="D7" s="24">
        <f t="shared" si="1"/>
        <v>45234</v>
      </c>
      <c r="F7" s="26"/>
    </row>
    <row r="8">
      <c r="A8" s="22"/>
      <c r="B8" s="30"/>
      <c r="C8" s="18">
        <f t="shared" si="2"/>
        <v>45235</v>
      </c>
      <c r="D8" s="24">
        <f t="shared" si="1"/>
        <v>45235</v>
      </c>
      <c r="E8" s="31"/>
      <c r="F8" s="58"/>
      <c r="G8" s="32"/>
      <c r="H8" s="32"/>
      <c r="I8" s="32"/>
      <c r="J8" s="31"/>
    </row>
    <row r="9">
      <c r="A9" s="22"/>
      <c r="B9" s="34">
        <f>B2+1</f>
        <v>45</v>
      </c>
      <c r="C9" s="35">
        <f t="shared" si="2"/>
        <v>45236</v>
      </c>
      <c r="D9" s="36">
        <f t="shared" si="1"/>
        <v>45236</v>
      </c>
      <c r="E9" s="26"/>
      <c r="G9" s="20"/>
      <c r="H9" s="20"/>
      <c r="I9" s="20"/>
      <c r="J9" s="20"/>
    </row>
    <row r="10">
      <c r="A10" s="22"/>
      <c r="C10" s="18">
        <f t="shared" si="2"/>
        <v>45237</v>
      </c>
      <c r="D10" s="24">
        <f t="shared" si="1"/>
        <v>45237</v>
      </c>
      <c r="E10" s="26"/>
    </row>
    <row r="11">
      <c r="A11" s="22"/>
      <c r="C11" s="18">
        <f t="shared" si="2"/>
        <v>45238</v>
      </c>
      <c r="D11" s="24">
        <f t="shared" si="1"/>
        <v>45238</v>
      </c>
      <c r="F11" s="26"/>
    </row>
    <row r="12">
      <c r="A12" s="22"/>
      <c r="C12" s="18">
        <f t="shared" si="2"/>
        <v>45239</v>
      </c>
      <c r="D12" s="24">
        <f t="shared" si="1"/>
        <v>45239</v>
      </c>
      <c r="F12" s="26"/>
      <c r="K12" s="38"/>
      <c r="M12" s="67"/>
    </row>
    <row r="13">
      <c r="A13" s="22"/>
      <c r="C13" s="18">
        <f t="shared" si="2"/>
        <v>45240</v>
      </c>
      <c r="D13" s="24">
        <f t="shared" si="1"/>
        <v>45240</v>
      </c>
      <c r="E13" s="26"/>
      <c r="M13" s="67"/>
    </row>
    <row r="14">
      <c r="A14" s="22"/>
      <c r="C14" s="18">
        <f t="shared" si="2"/>
        <v>45241</v>
      </c>
      <c r="D14" s="24">
        <f t="shared" si="1"/>
        <v>45241</v>
      </c>
      <c r="E14" s="26"/>
      <c r="M14" s="67"/>
    </row>
    <row r="15">
      <c r="A15" s="22"/>
      <c r="B15" s="39"/>
      <c r="C15" s="18">
        <f t="shared" si="2"/>
        <v>45242</v>
      </c>
      <c r="D15" s="24">
        <f t="shared" si="1"/>
        <v>45242</v>
      </c>
      <c r="E15" s="58"/>
      <c r="F15" s="31"/>
      <c r="G15" s="31"/>
      <c r="H15" s="31"/>
      <c r="I15" s="31"/>
      <c r="J15" s="31"/>
    </row>
    <row r="16">
      <c r="A16" s="22"/>
      <c r="B16" s="34">
        <f>B9+1</f>
        <v>46</v>
      </c>
      <c r="C16" s="35">
        <f t="shared" si="2"/>
        <v>45243</v>
      </c>
      <c r="D16" s="36">
        <f t="shared" si="1"/>
        <v>45243</v>
      </c>
      <c r="F16" s="26"/>
      <c r="G16" s="67"/>
      <c r="I16" s="20"/>
      <c r="J16" s="20"/>
    </row>
    <row r="17">
      <c r="A17" s="22"/>
      <c r="C17" s="18">
        <f t="shared" si="2"/>
        <v>45244</v>
      </c>
      <c r="D17" s="24">
        <f t="shared" si="1"/>
        <v>45244</v>
      </c>
      <c r="F17" s="47" t="s">
        <v>28</v>
      </c>
      <c r="G17" s="91" t="s">
        <v>138</v>
      </c>
    </row>
    <row r="18">
      <c r="A18" s="22"/>
      <c r="C18" s="18">
        <f t="shared" si="2"/>
        <v>45245</v>
      </c>
      <c r="D18" s="24">
        <f t="shared" si="1"/>
        <v>45245</v>
      </c>
      <c r="E18" s="26"/>
      <c r="G18" s="67"/>
      <c r="M18" s="83"/>
    </row>
    <row r="19">
      <c r="A19" s="22"/>
      <c r="C19" s="18">
        <f t="shared" si="2"/>
        <v>45246</v>
      </c>
      <c r="D19" s="24">
        <f t="shared" si="1"/>
        <v>45246</v>
      </c>
      <c r="E19" s="26"/>
      <c r="G19" s="67"/>
      <c r="M19" s="84"/>
    </row>
    <row r="20">
      <c r="A20" s="22"/>
      <c r="C20" s="18">
        <f t="shared" si="2"/>
        <v>45247</v>
      </c>
      <c r="D20" s="24">
        <f t="shared" si="1"/>
        <v>45247</v>
      </c>
      <c r="E20" s="26"/>
      <c r="F20" s="28"/>
      <c r="G20" s="67"/>
      <c r="J20" s="21" t="s">
        <v>139</v>
      </c>
    </row>
    <row r="21">
      <c r="A21" s="22"/>
      <c r="C21" s="18">
        <f t="shared" si="2"/>
        <v>45248</v>
      </c>
      <c r="D21" s="24">
        <f t="shared" si="1"/>
        <v>45248</v>
      </c>
      <c r="E21" s="26"/>
      <c r="F21" s="28"/>
      <c r="G21" s="67"/>
      <c r="J21" s="21" t="s">
        <v>139</v>
      </c>
    </row>
    <row r="22">
      <c r="A22" s="22"/>
      <c r="B22" s="39"/>
      <c r="C22" s="18">
        <f t="shared" si="2"/>
        <v>45249</v>
      </c>
      <c r="D22" s="24">
        <f t="shared" si="1"/>
        <v>45249</v>
      </c>
      <c r="E22" s="58"/>
      <c r="F22" s="87"/>
      <c r="G22" s="67"/>
      <c r="H22" s="31"/>
      <c r="I22" s="32"/>
      <c r="J22" s="21" t="s">
        <v>139</v>
      </c>
    </row>
    <row r="23">
      <c r="A23" s="22"/>
      <c r="B23" s="34">
        <f>B16+1</f>
        <v>47</v>
      </c>
      <c r="C23" s="35">
        <f t="shared" si="2"/>
        <v>45250</v>
      </c>
      <c r="D23" s="36">
        <f t="shared" si="1"/>
        <v>45250</v>
      </c>
      <c r="E23" s="26"/>
      <c r="G23" s="20"/>
      <c r="H23" s="20"/>
      <c r="J23" s="20"/>
    </row>
    <row r="24">
      <c r="A24" s="22"/>
      <c r="C24" s="18">
        <f t="shared" si="2"/>
        <v>45251</v>
      </c>
      <c r="D24" s="24">
        <f t="shared" si="1"/>
        <v>45251</v>
      </c>
      <c r="E24" s="26"/>
    </row>
    <row r="25">
      <c r="A25" s="22"/>
      <c r="C25" s="18">
        <f t="shared" si="2"/>
        <v>45252</v>
      </c>
      <c r="D25" s="24">
        <f t="shared" si="1"/>
        <v>45252</v>
      </c>
      <c r="F25" s="26"/>
    </row>
    <row r="26">
      <c r="A26" s="22"/>
      <c r="C26" s="18">
        <f t="shared" si="2"/>
        <v>45253</v>
      </c>
      <c r="D26" s="24">
        <f t="shared" si="1"/>
        <v>45253</v>
      </c>
      <c r="F26" s="26"/>
    </row>
    <row r="27">
      <c r="A27" s="22"/>
      <c r="C27" s="18">
        <f t="shared" si="2"/>
        <v>45254</v>
      </c>
      <c r="D27" s="24">
        <f t="shared" si="1"/>
        <v>45254</v>
      </c>
      <c r="E27" s="26"/>
      <c r="F27" s="21" t="s">
        <v>26</v>
      </c>
    </row>
    <row r="28">
      <c r="A28" s="22"/>
      <c r="C28" s="18">
        <f t="shared" si="2"/>
        <v>45255</v>
      </c>
      <c r="D28" s="24">
        <f t="shared" si="1"/>
        <v>45255</v>
      </c>
      <c r="E28" s="26"/>
    </row>
    <row r="29">
      <c r="A29" s="22"/>
      <c r="B29" s="39"/>
      <c r="C29" s="18">
        <f t="shared" si="2"/>
        <v>45256</v>
      </c>
      <c r="D29" s="24">
        <f t="shared" si="1"/>
        <v>45256</v>
      </c>
      <c r="E29" s="58"/>
      <c r="F29" s="31"/>
      <c r="G29" s="31"/>
      <c r="H29" s="31"/>
      <c r="I29" s="32"/>
      <c r="J29" s="31"/>
    </row>
    <row r="30">
      <c r="A30" s="22"/>
      <c r="B30" s="34">
        <f>B23+1</f>
        <v>48</v>
      </c>
      <c r="C30" s="35">
        <f t="shared" si="2"/>
        <v>45257</v>
      </c>
      <c r="D30" s="36">
        <f t="shared" si="1"/>
        <v>45257</v>
      </c>
      <c r="F30" s="26"/>
      <c r="G30" s="20"/>
      <c r="J30" s="20"/>
    </row>
    <row r="31">
      <c r="A31" s="22"/>
      <c r="C31" s="18">
        <f t="shared" si="2"/>
        <v>45258</v>
      </c>
      <c r="D31" s="24">
        <f t="shared" si="1"/>
        <v>45258</v>
      </c>
      <c r="F31" s="26"/>
    </row>
    <row r="32">
      <c r="A32" s="22"/>
      <c r="C32" s="18">
        <f t="shared" si="2"/>
        <v>45259</v>
      </c>
      <c r="D32" s="24">
        <f t="shared" si="1"/>
        <v>45259</v>
      </c>
      <c r="E32" s="26"/>
    </row>
    <row r="33">
      <c r="A33" s="22"/>
      <c r="C33" s="18">
        <f t="shared" si="2"/>
        <v>45260</v>
      </c>
      <c r="D33" s="24">
        <f t="shared" si="1"/>
        <v>45260</v>
      </c>
      <c r="E33" s="26"/>
    </row>
    <row r="34">
      <c r="A34" s="22"/>
      <c r="C34" s="18">
        <f t="shared" si="2"/>
        <v>45261</v>
      </c>
      <c r="D34" s="24">
        <f t="shared" si="1"/>
        <v>45261</v>
      </c>
    </row>
    <row r="35">
      <c r="A35" s="22"/>
      <c r="C35" s="18">
        <f t="shared" si="2"/>
        <v>45262</v>
      </c>
      <c r="D35" s="24">
        <f t="shared" si="1"/>
        <v>45262</v>
      </c>
    </row>
    <row r="36">
      <c r="A36" s="22"/>
      <c r="B36" s="39"/>
      <c r="C36" s="18">
        <f t="shared" si="2"/>
        <v>45263</v>
      </c>
      <c r="D36" s="24">
        <f t="shared" si="1"/>
        <v>45263</v>
      </c>
      <c r="E36" s="31"/>
      <c r="F36" s="31"/>
    </row>
    <row r="37">
      <c r="A37" s="22"/>
      <c r="B37" s="34">
        <f>B30+1</f>
        <v>49</v>
      </c>
      <c r="C37" s="35">
        <f t="shared" si="2"/>
        <v>45264</v>
      </c>
      <c r="D37" s="36">
        <f t="shared" si="1"/>
        <v>45264</v>
      </c>
      <c r="F37" s="20"/>
      <c r="G37" s="20"/>
      <c r="H37" s="20"/>
      <c r="I37" s="20"/>
      <c r="J37" s="20"/>
    </row>
    <row r="38">
      <c r="A38" s="22"/>
      <c r="C38" s="18">
        <f t="shared" si="2"/>
        <v>45265</v>
      </c>
      <c r="D38" s="24">
        <f t="shared" si="1"/>
        <v>45265</v>
      </c>
    </row>
    <row r="39">
      <c r="A39" s="22"/>
      <c r="C39" s="18">
        <f t="shared" si="2"/>
        <v>45266</v>
      </c>
      <c r="D39" s="24">
        <f t="shared" si="1"/>
        <v>45266</v>
      </c>
      <c r="F39" s="1"/>
    </row>
    <row r="40">
      <c r="A40" s="22"/>
      <c r="C40" s="18">
        <f t="shared" si="2"/>
        <v>45267</v>
      </c>
      <c r="D40" s="24">
        <f t="shared" si="1"/>
        <v>45267</v>
      </c>
      <c r="F40" s="1"/>
    </row>
    <row r="41">
      <c r="A41" s="22"/>
      <c r="C41" s="18">
        <f t="shared" si="2"/>
        <v>45268</v>
      </c>
      <c r="D41" s="24">
        <f t="shared" si="1"/>
        <v>45268</v>
      </c>
    </row>
    <row r="42">
      <c r="A42" s="22"/>
      <c r="C42" s="18">
        <f t="shared" si="2"/>
        <v>45269</v>
      </c>
      <c r="D42" s="24">
        <f t="shared" si="1"/>
        <v>45269</v>
      </c>
    </row>
    <row r="43">
      <c r="A43" s="22"/>
      <c r="B43" s="39"/>
      <c r="C43" s="42">
        <f t="shared" si="2"/>
        <v>45270</v>
      </c>
      <c r="D43" s="43">
        <f t="shared" si="1"/>
        <v>45270</v>
      </c>
      <c r="E43" s="31"/>
      <c r="F43" s="31"/>
      <c r="G43" s="31"/>
      <c r="H43" s="31"/>
      <c r="I43" s="31"/>
      <c r="J43" s="31"/>
    </row>
  </sheetData>
  <mergeCells count="7">
    <mergeCell ref="A2:A43"/>
    <mergeCell ref="B2:B8"/>
    <mergeCell ref="B9:B15"/>
    <mergeCell ref="B16:B22"/>
    <mergeCell ref="B23:B29"/>
    <mergeCell ref="B30:B36"/>
    <mergeCell ref="B37:B43"/>
  </mergeCells>
  <conditionalFormatting sqref="C2:C43">
    <cfRule type="timePeriod" dxfId="2" priority="3" timePeriod="today"/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5"/>
    <col customWidth="1" min="3" max="3" width="2.88"/>
    <col customWidth="1" min="4" max="4" width="7.5"/>
    <col customWidth="1" min="7" max="7" width="16.0"/>
    <col customWidth="1" min="8" max="8" width="13.25"/>
    <col customWidth="1" min="9" max="9" width="48.88"/>
    <col customWidth="1" min="10" max="10" width="47.75"/>
    <col customWidth="1" min="14" max="14" width="23.63"/>
  </cols>
  <sheetData>
    <row r="1">
      <c r="A1" s="82">
        <v>45261.0</v>
      </c>
      <c r="B1" s="12" t="s">
        <v>13</v>
      </c>
      <c r="C1" s="13"/>
      <c r="D1" s="14"/>
      <c r="E1" s="15" t="s">
        <v>5</v>
      </c>
      <c r="F1" s="15" t="s">
        <v>14</v>
      </c>
      <c r="G1" s="12"/>
      <c r="H1" s="12"/>
      <c r="I1" s="12" t="s">
        <v>15</v>
      </c>
      <c r="J1" s="12" t="s">
        <v>16</v>
      </c>
    </row>
    <row r="2">
      <c r="A2" s="16">
        <f>A1</f>
        <v>45261</v>
      </c>
      <c r="B2" s="17">
        <f>WEEKNUM(A1)</f>
        <v>48</v>
      </c>
      <c r="C2" s="18">
        <f>A1-WEEKDAY(A1,2)+1</f>
        <v>45257</v>
      </c>
      <c r="D2" s="19">
        <f t="shared" ref="D2:D43" si="1">C2</f>
        <v>45257</v>
      </c>
      <c r="N2" s="21"/>
    </row>
    <row r="3">
      <c r="A3" s="22"/>
      <c r="B3" s="23"/>
      <c r="C3" s="18">
        <f t="shared" ref="C3:C43" si="2">C2+1</f>
        <v>45258</v>
      </c>
      <c r="D3" s="24">
        <f t="shared" si="1"/>
        <v>45258</v>
      </c>
      <c r="N3" s="21"/>
    </row>
    <row r="4">
      <c r="A4" s="22"/>
      <c r="B4" s="23"/>
      <c r="C4" s="18">
        <f t="shared" si="2"/>
        <v>45259</v>
      </c>
      <c r="D4" s="24">
        <f t="shared" si="1"/>
        <v>45259</v>
      </c>
      <c r="N4" s="21"/>
    </row>
    <row r="5">
      <c r="A5" s="22"/>
      <c r="B5" s="23"/>
      <c r="C5" s="18">
        <f t="shared" si="2"/>
        <v>45260</v>
      </c>
      <c r="D5" s="24">
        <f t="shared" si="1"/>
        <v>45260</v>
      </c>
      <c r="M5" s="26"/>
      <c r="N5" s="21" t="s">
        <v>17</v>
      </c>
    </row>
    <row r="6">
      <c r="A6" s="22"/>
      <c r="B6" s="23"/>
      <c r="C6" s="18">
        <f t="shared" si="2"/>
        <v>45261</v>
      </c>
      <c r="D6" s="24">
        <f t="shared" si="1"/>
        <v>45261</v>
      </c>
      <c r="F6" s="26"/>
      <c r="M6" s="28"/>
      <c r="N6" s="21" t="s">
        <v>18</v>
      </c>
    </row>
    <row r="7">
      <c r="A7" s="22"/>
      <c r="B7" s="23"/>
      <c r="C7" s="18">
        <f t="shared" si="2"/>
        <v>45262</v>
      </c>
      <c r="D7" s="24">
        <f t="shared" si="1"/>
        <v>45262</v>
      </c>
      <c r="F7" s="26"/>
    </row>
    <row r="8">
      <c r="A8" s="22"/>
      <c r="B8" s="30"/>
      <c r="C8" s="18">
        <f t="shared" si="2"/>
        <v>45263</v>
      </c>
      <c r="D8" s="24">
        <f t="shared" si="1"/>
        <v>45263</v>
      </c>
      <c r="E8" s="31"/>
      <c r="F8" s="58"/>
      <c r="G8" s="32" t="s">
        <v>140</v>
      </c>
      <c r="H8" s="31"/>
      <c r="I8" s="31"/>
      <c r="J8" s="31"/>
    </row>
    <row r="9">
      <c r="A9" s="22"/>
      <c r="B9" s="34">
        <f>B2+1</f>
        <v>49</v>
      </c>
      <c r="C9" s="35">
        <f t="shared" si="2"/>
        <v>45264</v>
      </c>
      <c r="D9" s="36">
        <f t="shared" si="1"/>
        <v>45264</v>
      </c>
      <c r="E9" s="47" t="s">
        <v>28</v>
      </c>
      <c r="J9" s="20"/>
    </row>
    <row r="10">
      <c r="A10" s="22"/>
      <c r="C10" s="18">
        <f t="shared" si="2"/>
        <v>45265</v>
      </c>
      <c r="D10" s="24">
        <f t="shared" si="1"/>
        <v>45265</v>
      </c>
      <c r="E10" s="47" t="s">
        <v>128</v>
      </c>
    </row>
    <row r="11">
      <c r="A11" s="22"/>
      <c r="C11" s="18">
        <f t="shared" si="2"/>
        <v>45266</v>
      </c>
      <c r="D11" s="24">
        <f t="shared" si="1"/>
        <v>45266</v>
      </c>
      <c r="F11" s="26"/>
    </row>
    <row r="12">
      <c r="A12" s="22"/>
      <c r="C12" s="18">
        <f t="shared" si="2"/>
        <v>45267</v>
      </c>
      <c r="D12" s="24">
        <f t="shared" si="1"/>
        <v>45267</v>
      </c>
      <c r="F12" s="26"/>
      <c r="I12" s="21" t="s">
        <v>141</v>
      </c>
      <c r="K12" s="38"/>
    </row>
    <row r="13">
      <c r="A13" s="22"/>
      <c r="C13" s="18">
        <f t="shared" si="2"/>
        <v>45268</v>
      </c>
      <c r="D13" s="24">
        <f t="shared" si="1"/>
        <v>45268</v>
      </c>
      <c r="E13" s="26"/>
    </row>
    <row r="14">
      <c r="A14" s="22"/>
      <c r="C14" s="18">
        <f t="shared" si="2"/>
        <v>45269</v>
      </c>
      <c r="D14" s="24">
        <f t="shared" si="1"/>
        <v>45269</v>
      </c>
      <c r="E14" s="26"/>
    </row>
    <row r="15">
      <c r="A15" s="22"/>
      <c r="B15" s="39"/>
      <c r="C15" s="18">
        <f t="shared" si="2"/>
        <v>45270</v>
      </c>
      <c r="D15" s="24">
        <f t="shared" si="1"/>
        <v>45270</v>
      </c>
      <c r="E15" s="58"/>
      <c r="F15" s="31"/>
      <c r="G15" s="32" t="s">
        <v>142</v>
      </c>
      <c r="H15" s="31"/>
      <c r="I15" s="31"/>
      <c r="J15" s="31"/>
    </row>
    <row r="16">
      <c r="A16" s="22"/>
      <c r="B16" s="34">
        <f>B9+1</f>
        <v>50</v>
      </c>
      <c r="C16" s="35">
        <f t="shared" si="2"/>
        <v>45271</v>
      </c>
      <c r="D16" s="36">
        <f t="shared" si="1"/>
        <v>45271</v>
      </c>
      <c r="E16" s="21" t="s">
        <v>26</v>
      </c>
      <c r="F16" s="26"/>
      <c r="J16" s="20"/>
    </row>
    <row r="17">
      <c r="A17" s="22"/>
      <c r="C17" s="18">
        <f t="shared" si="2"/>
        <v>45272</v>
      </c>
      <c r="D17" s="24">
        <f t="shared" si="1"/>
        <v>45272</v>
      </c>
      <c r="F17" s="47" t="s">
        <v>26</v>
      </c>
    </row>
    <row r="18">
      <c r="A18" s="22"/>
      <c r="C18" s="18">
        <f t="shared" si="2"/>
        <v>45273</v>
      </c>
      <c r="D18" s="24">
        <f t="shared" si="1"/>
        <v>45273</v>
      </c>
      <c r="E18" s="26"/>
      <c r="F18" s="21" t="s">
        <v>26</v>
      </c>
      <c r="G18" s="21" t="s">
        <v>143</v>
      </c>
      <c r="M18" s="83"/>
    </row>
    <row r="19">
      <c r="A19" s="22"/>
      <c r="C19" s="18">
        <f t="shared" si="2"/>
        <v>45274</v>
      </c>
      <c r="D19" s="24">
        <f t="shared" si="1"/>
        <v>45274</v>
      </c>
      <c r="E19" s="47" t="s">
        <v>26</v>
      </c>
      <c r="I19" s="21" t="s">
        <v>144</v>
      </c>
      <c r="M19" s="84"/>
    </row>
    <row r="20">
      <c r="A20" s="22"/>
      <c r="C20" s="18">
        <f t="shared" si="2"/>
        <v>45275</v>
      </c>
      <c r="D20" s="24">
        <f t="shared" si="1"/>
        <v>45275</v>
      </c>
      <c r="E20" s="21" t="s">
        <v>26</v>
      </c>
      <c r="F20" s="26"/>
    </row>
    <row r="21">
      <c r="A21" s="22"/>
      <c r="C21" s="18">
        <f t="shared" si="2"/>
        <v>45276</v>
      </c>
      <c r="D21" s="24">
        <f t="shared" si="1"/>
        <v>45276</v>
      </c>
      <c r="F21" s="26"/>
    </row>
    <row r="22">
      <c r="A22" s="22"/>
      <c r="B22" s="39"/>
      <c r="C22" s="18">
        <f t="shared" si="2"/>
        <v>45277</v>
      </c>
      <c r="D22" s="24">
        <f t="shared" si="1"/>
        <v>45277</v>
      </c>
      <c r="E22" s="31"/>
      <c r="F22" s="58"/>
      <c r="G22" s="32" t="s">
        <v>145</v>
      </c>
      <c r="H22" s="31"/>
      <c r="I22" s="31"/>
      <c r="J22" s="31"/>
    </row>
    <row r="23">
      <c r="A23" s="22"/>
      <c r="B23" s="34">
        <f>B16+1</f>
        <v>51</v>
      </c>
      <c r="C23" s="35">
        <f t="shared" si="2"/>
        <v>45278</v>
      </c>
      <c r="D23" s="36">
        <f t="shared" si="1"/>
        <v>45278</v>
      </c>
      <c r="E23" s="26"/>
      <c r="I23" s="21" t="s">
        <v>146</v>
      </c>
      <c r="J23" s="20"/>
    </row>
    <row r="24">
      <c r="A24" s="22"/>
      <c r="C24" s="18">
        <f t="shared" si="2"/>
        <v>45279</v>
      </c>
      <c r="D24" s="24">
        <f t="shared" si="1"/>
        <v>45279</v>
      </c>
      <c r="E24" s="26"/>
      <c r="I24" s="21" t="s">
        <v>146</v>
      </c>
    </row>
    <row r="25">
      <c r="A25" s="22"/>
      <c r="C25" s="18">
        <f t="shared" si="2"/>
        <v>45280</v>
      </c>
      <c r="D25" s="24">
        <f t="shared" si="1"/>
        <v>45280</v>
      </c>
      <c r="F25" s="26"/>
      <c r="H25" s="48"/>
      <c r="I25" s="21" t="s">
        <v>144</v>
      </c>
      <c r="J25" s="21" t="s">
        <v>146</v>
      </c>
    </row>
    <row r="26">
      <c r="A26" s="22"/>
      <c r="C26" s="18">
        <f t="shared" si="2"/>
        <v>45281</v>
      </c>
      <c r="D26" s="24">
        <f t="shared" si="1"/>
        <v>45281</v>
      </c>
      <c r="E26" s="21" t="s">
        <v>63</v>
      </c>
      <c r="F26" s="26"/>
      <c r="H26" s="48"/>
      <c r="J26" s="21" t="s">
        <v>146</v>
      </c>
    </row>
    <row r="27">
      <c r="A27" s="22"/>
      <c r="C27" s="18">
        <f t="shared" si="2"/>
        <v>45282</v>
      </c>
      <c r="D27" s="24">
        <f t="shared" si="1"/>
        <v>45282</v>
      </c>
      <c r="E27" s="47" t="s">
        <v>63</v>
      </c>
      <c r="F27" s="21" t="s">
        <v>59</v>
      </c>
      <c r="H27" s="92" t="s">
        <v>59</v>
      </c>
      <c r="J27" s="51" t="s">
        <v>147</v>
      </c>
    </row>
    <row r="28">
      <c r="A28" s="22"/>
      <c r="C28" s="18">
        <f t="shared" si="2"/>
        <v>45283</v>
      </c>
      <c r="D28" s="24">
        <f t="shared" si="1"/>
        <v>45283</v>
      </c>
      <c r="E28" s="26"/>
      <c r="H28" s="48"/>
    </row>
    <row r="29">
      <c r="A29" s="22"/>
      <c r="B29" s="39"/>
      <c r="C29" s="18">
        <f t="shared" si="2"/>
        <v>45284</v>
      </c>
      <c r="D29" s="24">
        <f t="shared" si="1"/>
        <v>45284</v>
      </c>
      <c r="E29" s="87"/>
      <c r="F29" s="58"/>
      <c r="G29" s="32" t="s">
        <v>148</v>
      </c>
      <c r="H29" s="93"/>
      <c r="I29" s="32" t="s">
        <v>149</v>
      </c>
      <c r="J29" s="32"/>
    </row>
    <row r="30">
      <c r="A30" s="22"/>
      <c r="B30" s="34">
        <f>B23+1</f>
        <v>52</v>
      </c>
      <c r="C30" s="35">
        <f t="shared" si="2"/>
        <v>45285</v>
      </c>
      <c r="D30" s="36">
        <f t="shared" si="1"/>
        <v>45285</v>
      </c>
      <c r="F30" s="26"/>
      <c r="G30" s="60" t="s">
        <v>150</v>
      </c>
      <c r="H30" s="94"/>
      <c r="J30" s="20"/>
    </row>
    <row r="31">
      <c r="A31" s="22"/>
      <c r="C31" s="18">
        <f t="shared" si="2"/>
        <v>45286</v>
      </c>
      <c r="D31" s="24">
        <f t="shared" si="1"/>
        <v>45286</v>
      </c>
      <c r="E31" s="28"/>
      <c r="F31" s="26"/>
      <c r="G31" s="60" t="s">
        <v>151</v>
      </c>
      <c r="H31" s="94"/>
    </row>
    <row r="32">
      <c r="A32" s="22"/>
      <c r="C32" s="18">
        <f t="shared" si="2"/>
        <v>45287</v>
      </c>
      <c r="D32" s="24">
        <f t="shared" si="1"/>
        <v>45287</v>
      </c>
      <c r="E32" s="47" t="s">
        <v>59</v>
      </c>
      <c r="F32" s="21" t="s">
        <v>63</v>
      </c>
      <c r="G32" s="51"/>
      <c r="H32" s="94"/>
      <c r="I32" s="21" t="s">
        <v>152</v>
      </c>
    </row>
    <row r="33">
      <c r="A33" s="22"/>
      <c r="C33" s="18">
        <f t="shared" si="2"/>
        <v>45288</v>
      </c>
      <c r="D33" s="24">
        <f t="shared" si="1"/>
        <v>45288</v>
      </c>
      <c r="E33" s="47" t="s">
        <v>59</v>
      </c>
      <c r="F33" s="21" t="s">
        <v>63</v>
      </c>
      <c r="G33" s="51"/>
      <c r="H33" s="94"/>
      <c r="I33" s="21" t="s">
        <v>152</v>
      </c>
    </row>
    <row r="34">
      <c r="A34" s="22"/>
      <c r="C34" s="18">
        <f t="shared" si="2"/>
        <v>45289</v>
      </c>
      <c r="D34" s="24">
        <f t="shared" si="1"/>
        <v>45289</v>
      </c>
      <c r="E34" s="21" t="s">
        <v>59</v>
      </c>
      <c r="F34" s="47" t="s">
        <v>63</v>
      </c>
      <c r="G34" s="51"/>
      <c r="H34" s="94"/>
      <c r="I34" s="21" t="s">
        <v>152</v>
      </c>
    </row>
    <row r="35">
      <c r="A35" s="22"/>
      <c r="C35" s="18">
        <f t="shared" si="2"/>
        <v>45290</v>
      </c>
      <c r="D35" s="24">
        <f t="shared" si="1"/>
        <v>45290</v>
      </c>
      <c r="E35" s="21" t="s">
        <v>59</v>
      </c>
      <c r="F35" s="26"/>
      <c r="H35" s="94"/>
    </row>
    <row r="36">
      <c r="A36" s="22"/>
      <c r="B36" s="39"/>
      <c r="C36" s="18">
        <f t="shared" si="2"/>
        <v>45291</v>
      </c>
      <c r="D36" s="24">
        <f t="shared" si="1"/>
        <v>45291</v>
      </c>
      <c r="E36" s="86" t="s">
        <v>59</v>
      </c>
      <c r="F36" s="87"/>
      <c r="G36" s="31"/>
      <c r="H36" s="94"/>
      <c r="I36" s="32"/>
      <c r="J36" s="32" t="s">
        <v>153</v>
      </c>
    </row>
    <row r="37">
      <c r="A37" s="22"/>
      <c r="B37" s="34">
        <f>B30+1</f>
        <v>53</v>
      </c>
      <c r="C37" s="35">
        <f t="shared" si="2"/>
        <v>45292</v>
      </c>
      <c r="D37" s="36">
        <f t="shared" si="1"/>
        <v>45292</v>
      </c>
      <c r="F37" s="20"/>
      <c r="G37" s="20"/>
      <c r="H37" s="20"/>
      <c r="I37" s="20"/>
      <c r="J37" s="20"/>
    </row>
    <row r="38">
      <c r="A38" s="22"/>
      <c r="C38" s="18">
        <f t="shared" si="2"/>
        <v>45293</v>
      </c>
      <c r="D38" s="24">
        <f t="shared" si="1"/>
        <v>45293</v>
      </c>
    </row>
    <row r="39">
      <c r="A39" s="22"/>
      <c r="C39" s="18">
        <f t="shared" si="2"/>
        <v>45294</v>
      </c>
      <c r="D39" s="24">
        <f t="shared" si="1"/>
        <v>45294</v>
      </c>
      <c r="F39" s="1"/>
      <c r="I39" s="95"/>
      <c r="J39" s="21" t="s">
        <v>154</v>
      </c>
    </row>
    <row r="40">
      <c r="A40" s="22"/>
      <c r="C40" s="18">
        <f t="shared" si="2"/>
        <v>45295</v>
      </c>
      <c r="D40" s="24">
        <f t="shared" si="1"/>
        <v>45295</v>
      </c>
      <c r="F40" s="1"/>
      <c r="I40" s="94"/>
      <c r="J40" s="21" t="s">
        <v>155</v>
      </c>
    </row>
    <row r="41">
      <c r="A41" s="22"/>
      <c r="C41" s="18">
        <f t="shared" si="2"/>
        <v>45296</v>
      </c>
      <c r="D41" s="24">
        <f t="shared" si="1"/>
        <v>45296</v>
      </c>
    </row>
    <row r="42">
      <c r="A42" s="22"/>
      <c r="C42" s="18">
        <f t="shared" si="2"/>
        <v>45297</v>
      </c>
      <c r="D42" s="24">
        <f t="shared" si="1"/>
        <v>45297</v>
      </c>
    </row>
    <row r="43">
      <c r="A43" s="22"/>
      <c r="B43" s="39"/>
      <c r="C43" s="42">
        <f t="shared" si="2"/>
        <v>45298</v>
      </c>
      <c r="D43" s="43">
        <f t="shared" si="1"/>
        <v>45298</v>
      </c>
      <c r="E43" s="31"/>
      <c r="F43" s="31"/>
      <c r="G43" s="31"/>
      <c r="H43" s="31"/>
      <c r="I43" s="31"/>
      <c r="J43" s="31"/>
    </row>
  </sheetData>
  <mergeCells count="7">
    <mergeCell ref="A2:A43"/>
    <mergeCell ref="B2:B8"/>
    <mergeCell ref="B9:B15"/>
    <mergeCell ref="B16:B22"/>
    <mergeCell ref="B23:B29"/>
    <mergeCell ref="B30:B36"/>
    <mergeCell ref="B37:B43"/>
  </mergeCells>
  <conditionalFormatting sqref="C2:C43">
    <cfRule type="timePeriod" dxfId="2" priority="3" timePeriod="today"/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5"/>
    <col customWidth="1" min="3" max="3" width="2.88"/>
    <col customWidth="1" min="4" max="4" width="7.5"/>
    <col customWidth="1" min="7" max="7" width="19.88"/>
    <col customWidth="1" min="8" max="8" width="13.38"/>
    <col customWidth="1" min="9" max="9" width="22.63"/>
    <col customWidth="1" min="10" max="10" width="25.38"/>
    <col customWidth="1" min="14" max="14" width="23.63"/>
    <col customWidth="1" min="16" max="16" width="14.25"/>
  </cols>
  <sheetData>
    <row r="1">
      <c r="A1" s="82">
        <v>45292.0</v>
      </c>
      <c r="B1" s="12" t="s">
        <v>13</v>
      </c>
      <c r="C1" s="13"/>
      <c r="D1" s="14"/>
      <c r="E1" s="15" t="s">
        <v>5</v>
      </c>
      <c r="F1" s="15" t="s">
        <v>14</v>
      </c>
      <c r="G1" s="12"/>
      <c r="H1" s="12"/>
      <c r="I1" s="12" t="s">
        <v>15</v>
      </c>
      <c r="J1" s="12" t="s">
        <v>16</v>
      </c>
    </row>
    <row r="2">
      <c r="A2" s="16">
        <f>A1</f>
        <v>45292</v>
      </c>
      <c r="B2" s="17">
        <f>WEEKNUM(A1)</f>
        <v>1</v>
      </c>
      <c r="C2" s="44">
        <f>A1-WEEKDAY(A1,2)+1</f>
        <v>45292</v>
      </c>
      <c r="D2" s="96">
        <f t="shared" ref="D2:D43" si="1">C2</f>
        <v>45292</v>
      </c>
      <c r="E2" s="25"/>
      <c r="F2" s="80"/>
      <c r="G2" s="60" t="s">
        <v>156</v>
      </c>
      <c r="H2" s="95"/>
      <c r="N2" s="21"/>
    </row>
    <row r="3">
      <c r="A3" s="22"/>
      <c r="B3" s="23"/>
      <c r="C3" s="18">
        <f t="shared" ref="C3:C43" si="2">C2+1</f>
        <v>45293</v>
      </c>
      <c r="D3" s="24">
        <f t="shared" si="1"/>
        <v>45293</v>
      </c>
      <c r="E3" s="25"/>
      <c r="F3" s="21" t="s">
        <v>59</v>
      </c>
      <c r="G3" s="51"/>
      <c r="H3" s="95"/>
      <c r="J3" s="21" t="s">
        <v>152</v>
      </c>
      <c r="N3" s="21"/>
    </row>
    <row r="4">
      <c r="A4" s="22"/>
      <c r="B4" s="23"/>
      <c r="C4" s="18">
        <f t="shared" si="2"/>
        <v>45294</v>
      </c>
      <c r="D4" s="24">
        <f t="shared" si="1"/>
        <v>45294</v>
      </c>
      <c r="F4" s="21" t="s">
        <v>59</v>
      </c>
      <c r="G4" s="51"/>
      <c r="H4" s="95"/>
      <c r="J4" s="21" t="s">
        <v>152</v>
      </c>
      <c r="N4" s="21"/>
    </row>
    <row r="5">
      <c r="A5" s="22"/>
      <c r="B5" s="23"/>
      <c r="C5" s="18">
        <f t="shared" si="2"/>
        <v>45295</v>
      </c>
      <c r="D5" s="24">
        <f t="shared" si="1"/>
        <v>45295</v>
      </c>
      <c r="F5" s="21" t="s">
        <v>59</v>
      </c>
      <c r="G5" s="51"/>
      <c r="H5" s="95"/>
      <c r="J5" s="21" t="s">
        <v>152</v>
      </c>
      <c r="M5" s="26"/>
      <c r="N5" s="21" t="s">
        <v>17</v>
      </c>
      <c r="Q5" s="21">
        <v>3.0</v>
      </c>
      <c r="R5" s="21">
        <v>1.0</v>
      </c>
    </row>
    <row r="6">
      <c r="A6" s="22"/>
      <c r="B6" s="23"/>
      <c r="C6" s="18">
        <f t="shared" si="2"/>
        <v>45296</v>
      </c>
      <c r="D6" s="24">
        <f t="shared" si="1"/>
        <v>45296</v>
      </c>
      <c r="E6" s="25"/>
      <c r="G6" s="51"/>
      <c r="H6" s="94"/>
      <c r="I6" s="21" t="s">
        <v>152</v>
      </c>
      <c r="M6" s="28"/>
      <c r="N6" s="21" t="s">
        <v>18</v>
      </c>
      <c r="Q6" s="21">
        <v>4.0</v>
      </c>
      <c r="R6" s="21">
        <v>2.0</v>
      </c>
    </row>
    <row r="7">
      <c r="A7" s="22"/>
      <c r="B7" s="23"/>
      <c r="C7" s="18">
        <f t="shared" si="2"/>
        <v>45297</v>
      </c>
      <c r="D7" s="24">
        <f t="shared" si="1"/>
        <v>45297</v>
      </c>
      <c r="E7" s="25"/>
      <c r="H7" s="94"/>
      <c r="R7" s="21">
        <v>5.0</v>
      </c>
    </row>
    <row r="8">
      <c r="A8" s="22"/>
      <c r="B8" s="30"/>
      <c r="C8" s="18">
        <f t="shared" si="2"/>
        <v>45298</v>
      </c>
      <c r="D8" s="24">
        <f t="shared" si="1"/>
        <v>45298</v>
      </c>
      <c r="E8" s="31"/>
      <c r="F8" s="31"/>
      <c r="G8" s="32"/>
      <c r="H8" s="94"/>
      <c r="I8" s="32"/>
      <c r="J8" s="31"/>
      <c r="M8" s="33"/>
      <c r="N8" s="21" t="s">
        <v>19</v>
      </c>
      <c r="R8" s="21">
        <v>6.0</v>
      </c>
    </row>
    <row r="9">
      <c r="A9" s="22"/>
      <c r="B9" s="34">
        <f>B2+1</f>
        <v>2</v>
      </c>
      <c r="C9" s="35">
        <f t="shared" si="2"/>
        <v>45299</v>
      </c>
      <c r="D9" s="36">
        <f t="shared" si="1"/>
        <v>45299</v>
      </c>
      <c r="E9" s="21" t="s">
        <v>26</v>
      </c>
      <c r="F9" s="20"/>
      <c r="G9" s="20"/>
      <c r="H9" s="80" t="s">
        <v>157</v>
      </c>
      <c r="I9" s="20"/>
      <c r="J9" s="20"/>
      <c r="M9" s="37"/>
      <c r="N9" s="21" t="s">
        <v>20</v>
      </c>
      <c r="R9" s="21">
        <v>7.0</v>
      </c>
    </row>
    <row r="10">
      <c r="A10" s="22"/>
      <c r="C10" s="18">
        <f t="shared" si="2"/>
        <v>45300</v>
      </c>
      <c r="D10" s="24">
        <f t="shared" si="1"/>
        <v>45300</v>
      </c>
      <c r="F10" s="21" t="s">
        <v>26</v>
      </c>
      <c r="H10" s="21" t="s">
        <v>157</v>
      </c>
    </row>
    <row r="11">
      <c r="A11" s="22"/>
      <c r="C11" s="18">
        <f t="shared" si="2"/>
        <v>45301</v>
      </c>
      <c r="D11" s="24">
        <f t="shared" si="1"/>
        <v>45301</v>
      </c>
      <c r="F11" s="21" t="s">
        <v>26</v>
      </c>
      <c r="H11" s="21" t="s">
        <v>157</v>
      </c>
      <c r="M11" s="95"/>
      <c r="N11" s="21" t="s">
        <v>154</v>
      </c>
    </row>
    <row r="12">
      <c r="A12" s="22"/>
      <c r="C12" s="18">
        <f t="shared" si="2"/>
        <v>45302</v>
      </c>
      <c r="D12" s="24">
        <f t="shared" si="1"/>
        <v>45302</v>
      </c>
      <c r="F12" s="21" t="s">
        <v>26</v>
      </c>
      <c r="H12" s="21" t="s">
        <v>157</v>
      </c>
      <c r="K12" s="38"/>
      <c r="M12" s="94"/>
      <c r="N12" s="21" t="s">
        <v>155</v>
      </c>
    </row>
    <row r="13">
      <c r="A13" s="22"/>
      <c r="C13" s="18">
        <f t="shared" si="2"/>
        <v>45303</v>
      </c>
      <c r="D13" s="24">
        <f t="shared" si="1"/>
        <v>45303</v>
      </c>
      <c r="F13" s="21" t="s">
        <v>26</v>
      </c>
      <c r="H13" s="21" t="s">
        <v>157</v>
      </c>
    </row>
    <row r="14">
      <c r="A14" s="22"/>
      <c r="C14" s="18">
        <f t="shared" si="2"/>
        <v>45304</v>
      </c>
      <c r="D14" s="24">
        <f t="shared" si="1"/>
        <v>45304</v>
      </c>
      <c r="F14" s="25"/>
      <c r="H14" s="21" t="s">
        <v>157</v>
      </c>
    </row>
    <row r="15">
      <c r="A15" s="22"/>
      <c r="B15" s="39"/>
      <c r="C15" s="18">
        <f t="shared" si="2"/>
        <v>45305</v>
      </c>
      <c r="D15" s="24">
        <f t="shared" si="1"/>
        <v>45305</v>
      </c>
      <c r="E15" s="31"/>
      <c r="F15" s="31"/>
      <c r="G15" s="31"/>
      <c r="H15" s="31"/>
      <c r="I15" s="31"/>
      <c r="J15" s="31"/>
    </row>
    <row r="16">
      <c r="A16" s="22"/>
      <c r="B16" s="34">
        <f>B9+1</f>
        <v>3</v>
      </c>
      <c r="C16" s="35">
        <f t="shared" si="2"/>
        <v>45306</v>
      </c>
      <c r="D16" s="36">
        <f t="shared" si="1"/>
        <v>45306</v>
      </c>
      <c r="E16" s="25"/>
      <c r="F16" s="20"/>
      <c r="I16" s="20"/>
      <c r="J16" s="20"/>
      <c r="N16" s="40"/>
      <c r="O16" s="41"/>
      <c r="P16" s="41"/>
      <c r="R16" s="41"/>
    </row>
    <row r="17">
      <c r="A17" s="22"/>
      <c r="C17" s="18">
        <f t="shared" si="2"/>
        <v>45307</v>
      </c>
      <c r="D17" s="24">
        <f t="shared" si="1"/>
        <v>45307</v>
      </c>
      <c r="E17" s="25"/>
      <c r="N17" s="40"/>
      <c r="O17" s="41"/>
      <c r="P17" s="41"/>
      <c r="R17" s="41"/>
    </row>
    <row r="18">
      <c r="A18" s="22"/>
      <c r="C18" s="18">
        <f t="shared" si="2"/>
        <v>45308</v>
      </c>
      <c r="D18" s="24">
        <f t="shared" si="1"/>
        <v>45308</v>
      </c>
      <c r="E18" s="25"/>
      <c r="N18" s="40"/>
      <c r="O18" s="41"/>
      <c r="P18" s="41"/>
      <c r="R18" s="41"/>
    </row>
    <row r="19">
      <c r="A19" s="22"/>
      <c r="C19" s="18">
        <f t="shared" si="2"/>
        <v>45309</v>
      </c>
      <c r="D19" s="24">
        <f t="shared" si="1"/>
        <v>45309</v>
      </c>
      <c r="E19" s="21" t="s">
        <v>28</v>
      </c>
      <c r="G19" s="21"/>
      <c r="N19" s="40"/>
      <c r="O19" s="41"/>
      <c r="P19" s="41"/>
      <c r="R19" s="41"/>
    </row>
    <row r="20">
      <c r="A20" s="22"/>
      <c r="C20" s="18">
        <f t="shared" si="2"/>
        <v>45310</v>
      </c>
      <c r="D20" s="24">
        <f t="shared" si="1"/>
        <v>45310</v>
      </c>
      <c r="E20" s="25"/>
      <c r="N20" s="40"/>
      <c r="O20" s="41"/>
      <c r="P20" s="41"/>
      <c r="R20" s="41"/>
    </row>
    <row r="21">
      <c r="A21" s="22"/>
      <c r="C21" s="18">
        <f t="shared" si="2"/>
        <v>45311</v>
      </c>
      <c r="D21" s="24">
        <f t="shared" si="1"/>
        <v>45311</v>
      </c>
      <c r="E21" s="25"/>
      <c r="N21" s="40"/>
      <c r="O21" s="41"/>
      <c r="P21" s="41"/>
      <c r="R21" s="41"/>
    </row>
    <row r="22">
      <c r="A22" s="22"/>
      <c r="B22" s="39"/>
      <c r="C22" s="18">
        <f t="shared" si="2"/>
        <v>45312</v>
      </c>
      <c r="D22" s="24">
        <f t="shared" si="1"/>
        <v>45312</v>
      </c>
      <c r="E22" s="31"/>
      <c r="F22" s="31"/>
      <c r="G22" s="31"/>
      <c r="H22" s="31"/>
      <c r="I22" s="32"/>
      <c r="J22" s="31"/>
      <c r="N22" s="40"/>
      <c r="O22" s="41"/>
      <c r="P22" s="41"/>
      <c r="R22" s="41"/>
    </row>
    <row r="23">
      <c r="A23" s="22"/>
      <c r="B23" s="34">
        <f>B16+1</f>
        <v>4</v>
      </c>
      <c r="C23" s="35">
        <f t="shared" si="2"/>
        <v>45313</v>
      </c>
      <c r="D23" s="36">
        <f t="shared" si="1"/>
        <v>45313</v>
      </c>
      <c r="F23" s="20"/>
      <c r="G23" s="20"/>
      <c r="H23" s="20"/>
      <c r="J23" s="20"/>
      <c r="N23" s="40"/>
      <c r="O23" s="41"/>
      <c r="P23" s="41"/>
      <c r="R23" s="41"/>
    </row>
    <row r="24">
      <c r="A24" s="22"/>
      <c r="C24" s="18">
        <f t="shared" si="2"/>
        <v>45314</v>
      </c>
      <c r="D24" s="24">
        <f t="shared" si="1"/>
        <v>45314</v>
      </c>
      <c r="F24" s="25"/>
      <c r="N24" s="40"/>
      <c r="O24" s="41"/>
      <c r="P24" s="41"/>
      <c r="R24" s="41"/>
    </row>
    <row r="25">
      <c r="A25" s="22"/>
      <c r="C25" s="18">
        <f t="shared" si="2"/>
        <v>45315</v>
      </c>
      <c r="D25" s="24">
        <f t="shared" si="1"/>
        <v>45315</v>
      </c>
      <c r="F25" s="25"/>
      <c r="N25" s="40"/>
      <c r="O25" s="41"/>
      <c r="P25" s="41"/>
      <c r="R25" s="41"/>
    </row>
    <row r="26">
      <c r="A26" s="22"/>
      <c r="C26" s="18">
        <f t="shared" si="2"/>
        <v>45316</v>
      </c>
      <c r="D26" s="24">
        <f t="shared" si="1"/>
        <v>45316</v>
      </c>
      <c r="F26" s="25"/>
      <c r="N26" s="40"/>
      <c r="O26" s="41"/>
      <c r="P26" s="41"/>
      <c r="R26" s="41"/>
    </row>
    <row r="27">
      <c r="A27" s="22"/>
      <c r="C27" s="18">
        <f t="shared" si="2"/>
        <v>45317</v>
      </c>
      <c r="D27" s="24">
        <f t="shared" si="1"/>
        <v>45317</v>
      </c>
      <c r="F27" s="25"/>
      <c r="N27" s="40"/>
      <c r="O27" s="41"/>
      <c r="P27" s="41"/>
      <c r="R27" s="41"/>
    </row>
    <row r="28">
      <c r="A28" s="22"/>
      <c r="C28" s="18">
        <f t="shared" si="2"/>
        <v>45318</v>
      </c>
      <c r="D28" s="24">
        <f t="shared" si="1"/>
        <v>45318</v>
      </c>
      <c r="F28" s="25"/>
      <c r="N28" s="40"/>
      <c r="O28" s="41"/>
      <c r="P28" s="41"/>
      <c r="R28" s="41"/>
    </row>
    <row r="29">
      <c r="A29" s="22"/>
      <c r="B29" s="39"/>
      <c r="C29" s="18">
        <f t="shared" si="2"/>
        <v>45319</v>
      </c>
      <c r="D29" s="24">
        <f t="shared" si="1"/>
        <v>45319</v>
      </c>
      <c r="E29" s="31"/>
      <c r="F29" s="31"/>
      <c r="G29" s="32" t="s">
        <v>158</v>
      </c>
      <c r="H29" s="31"/>
      <c r="I29" s="32"/>
      <c r="J29" s="31"/>
      <c r="N29" s="40"/>
      <c r="O29" s="41"/>
      <c r="P29" s="41"/>
      <c r="R29" s="41"/>
    </row>
    <row r="30">
      <c r="A30" s="22"/>
      <c r="B30" s="34">
        <f>B23+1</f>
        <v>5</v>
      </c>
      <c r="C30" s="35">
        <f t="shared" si="2"/>
        <v>45320</v>
      </c>
      <c r="D30" s="36">
        <f t="shared" si="1"/>
        <v>45320</v>
      </c>
      <c r="E30" s="25"/>
      <c r="F30" s="20"/>
      <c r="G30" s="20"/>
      <c r="J30" s="20"/>
      <c r="N30" s="40"/>
      <c r="O30" s="41"/>
      <c r="P30" s="41"/>
      <c r="R30" s="41"/>
    </row>
    <row r="31">
      <c r="A31" s="22"/>
      <c r="C31" s="18">
        <f t="shared" si="2"/>
        <v>45321</v>
      </c>
      <c r="D31" s="24">
        <f t="shared" si="1"/>
        <v>45321</v>
      </c>
      <c r="E31" s="25"/>
      <c r="N31" s="40"/>
      <c r="O31" s="41"/>
      <c r="P31" s="41"/>
      <c r="R31" s="41"/>
    </row>
    <row r="32">
      <c r="A32" s="22"/>
      <c r="C32" s="18">
        <f t="shared" si="2"/>
        <v>45322</v>
      </c>
      <c r="D32" s="24">
        <f t="shared" si="1"/>
        <v>45322</v>
      </c>
      <c r="E32" s="25"/>
      <c r="N32" s="40"/>
      <c r="O32" s="41"/>
      <c r="P32" s="41"/>
      <c r="R32" s="41"/>
    </row>
    <row r="33">
      <c r="A33" s="22"/>
      <c r="C33" s="18">
        <f t="shared" si="2"/>
        <v>45323</v>
      </c>
      <c r="D33" s="24">
        <f t="shared" si="1"/>
        <v>45323</v>
      </c>
      <c r="N33" s="40"/>
      <c r="O33" s="41"/>
      <c r="P33" s="41"/>
      <c r="R33" s="41"/>
    </row>
    <row r="34">
      <c r="A34" s="22"/>
      <c r="C34" s="18">
        <f t="shared" si="2"/>
        <v>45324</v>
      </c>
      <c r="D34" s="24">
        <f t="shared" si="1"/>
        <v>45324</v>
      </c>
      <c r="N34" s="40"/>
      <c r="O34" s="41"/>
      <c r="P34" s="41"/>
      <c r="R34" s="41"/>
    </row>
    <row r="35">
      <c r="A35" s="22"/>
      <c r="C35" s="18">
        <f t="shared" si="2"/>
        <v>45325</v>
      </c>
      <c r="D35" s="24">
        <f t="shared" si="1"/>
        <v>45325</v>
      </c>
      <c r="N35" s="40"/>
      <c r="O35" s="41"/>
      <c r="P35" s="41"/>
      <c r="R35" s="41"/>
    </row>
    <row r="36">
      <c r="A36" s="22"/>
      <c r="B36" s="39"/>
      <c r="C36" s="18">
        <f t="shared" si="2"/>
        <v>45326</v>
      </c>
      <c r="D36" s="24">
        <f t="shared" si="1"/>
        <v>45326</v>
      </c>
      <c r="E36" s="31"/>
      <c r="F36" s="31"/>
      <c r="N36" s="40"/>
      <c r="O36" s="41"/>
      <c r="P36" s="41"/>
      <c r="R36" s="41"/>
    </row>
    <row r="37">
      <c r="A37" s="22"/>
      <c r="B37" s="34">
        <f>B30+1</f>
        <v>6</v>
      </c>
      <c r="C37" s="35">
        <f t="shared" si="2"/>
        <v>45327</v>
      </c>
      <c r="D37" s="36">
        <f t="shared" si="1"/>
        <v>45327</v>
      </c>
      <c r="F37" s="20"/>
      <c r="G37" s="20"/>
      <c r="H37" s="20"/>
      <c r="I37" s="20"/>
      <c r="J37" s="20"/>
    </row>
    <row r="38">
      <c r="A38" s="22"/>
      <c r="C38" s="18">
        <f t="shared" si="2"/>
        <v>45328</v>
      </c>
      <c r="D38" s="24">
        <f t="shared" si="1"/>
        <v>45328</v>
      </c>
    </row>
    <row r="39">
      <c r="A39" s="22"/>
      <c r="C39" s="18">
        <f t="shared" si="2"/>
        <v>45329</v>
      </c>
      <c r="D39" s="24">
        <f t="shared" si="1"/>
        <v>45329</v>
      </c>
    </row>
    <row r="40">
      <c r="A40" s="22"/>
      <c r="C40" s="18">
        <f t="shared" si="2"/>
        <v>45330</v>
      </c>
      <c r="D40" s="24">
        <f t="shared" si="1"/>
        <v>45330</v>
      </c>
    </row>
    <row r="41">
      <c r="A41" s="22"/>
      <c r="C41" s="18">
        <f t="shared" si="2"/>
        <v>45331</v>
      </c>
      <c r="D41" s="24">
        <f t="shared" si="1"/>
        <v>45331</v>
      </c>
    </row>
    <row r="42">
      <c r="A42" s="22"/>
      <c r="C42" s="18">
        <f t="shared" si="2"/>
        <v>45332</v>
      </c>
      <c r="D42" s="24">
        <f t="shared" si="1"/>
        <v>45332</v>
      </c>
    </row>
    <row r="43">
      <c r="A43" s="22"/>
      <c r="B43" s="39"/>
      <c r="C43" s="42">
        <f t="shared" si="2"/>
        <v>45333</v>
      </c>
      <c r="D43" s="43">
        <f t="shared" si="1"/>
        <v>45333</v>
      </c>
      <c r="E43" s="31"/>
      <c r="F43" s="31"/>
      <c r="G43" s="31"/>
      <c r="H43" s="31"/>
      <c r="I43" s="31"/>
      <c r="J43" s="31"/>
    </row>
  </sheetData>
  <autoFilter ref="$C$1:$C$1003">
    <sortState ref="C1:C1003">
      <sortCondition descending="1" sortBy="cellColor" ref="C1:C1003" dxfId="1"/>
    </sortState>
  </autoFilter>
  <mergeCells count="7">
    <mergeCell ref="A2:A43"/>
    <mergeCell ref="B2:B8"/>
    <mergeCell ref="B9:B15"/>
    <mergeCell ref="B16:B22"/>
    <mergeCell ref="B23:B29"/>
    <mergeCell ref="B30:B36"/>
    <mergeCell ref="B37:B43"/>
  </mergeCells>
  <conditionalFormatting sqref="E32">
    <cfRule type="expression" dxfId="3" priority="1">
      <formula>AND(MONTH($A$1)=MONTH(C32),OR(AND(MOD(WEEKNUM(C32,2),2),NOT(ISERROR(MATCH(WEEKDAY(C32,2),$Q$5:$Q$11,0)))),AND(MOD(WEEKNUM(C32,2),2)=0,NOT(ISERROR(MATCH(WEEKDAY(C32,2),$R$5:$R$11,0))))))</formula>
    </cfRule>
  </conditionalFormatting>
  <conditionalFormatting sqref="F25:F26">
    <cfRule type="expression" dxfId="3" priority="2">
      <formula>AND(MONTH($A$1)=MONTH(C25),OR(AND(MOD(WEEKNUM(C25,2),2),ISERROR(MATCH(WEEKDAY(C25,2),$Q$5:$Q$11,0))),AND(MOD(WEEKNUM(C25,2),2)=0,ISERROR(MATCH(WEEKDAY(C25,2),$R$5:$R$11,0)))))</formula>
    </cfRule>
  </conditionalFormatting>
  <conditionalFormatting sqref="E18:E19">
    <cfRule type="expression" dxfId="3" priority="3">
      <formula>AND(MONTH($A$1)=MONTH(C18),OR(AND(MOD(WEEKNUM(C18,2),2),NOT(ISERROR(MATCH(WEEKDAY(C18,2),$Q$5:$Q$11,0)))),AND(MOD(WEEKNUM(C18,2),2)=0,NOT(ISERROR(MATCH(WEEKDAY(C18,2),$R$5:$R$11,0))))))</formula>
    </cfRule>
  </conditionalFormatting>
  <conditionalFormatting sqref="F11:F12">
    <cfRule type="expression" dxfId="3" priority="4">
      <formula>AND(MONTH($A$1)=MONTH(C11),OR(AND(MOD(WEEKNUM(C11,2),2),ISERROR(MATCH(WEEKDAY(C11,2),$Q$5:$Q$11,0))),AND(MOD(WEEKNUM(C11,2),2)=0,ISERROR(MATCH(WEEKDAY(C11,2),$R$5:$R$11,0)))))</formula>
    </cfRule>
  </conditionalFormatting>
  <conditionalFormatting sqref="C2:C43">
    <cfRule type="timePeriod" dxfId="2" priority="7" timePeriod="today"/>
  </conditionalFormatting>
  <conditionalFormatting sqref="E2:E10 E13:E17 E20:E24 E27:E31 E33:E43">
    <cfRule type="expression" dxfId="3" priority="8">
      <formula>AND(MONTH($A$1)=MONTH(C2),OR(AND(MOD(WEEKNUM(C2,2),2),ISERROR(MATCH(WEEKDAY(C2,2),$Q$5:$Q$11,0))),AND(MOD(WEEKNUM(C2,2),2)=0,ISERROR(MATCH(WEEKDAY(C2,2),$R$5:$R$11,0)))))</formula>
    </cfRule>
  </conditionalFormatting>
  <conditionalFormatting sqref="F2:F10 F13:F17 F20:F24 F27:F31 F33:F43">
    <cfRule type="expression" dxfId="3" priority="9">
      <formula>AND(MONTH($A$1)=MONTH(C2),OR(AND(MOD(WEEKNUM(C2,2),2),NOT(ISERROR(MATCH(WEEKDAY(C2,2),$Q$5:$Q$11,0)))),AND(MOD(WEEKNUM(C2,2),2)=0,NOT(ISERROR(MATCH(WEEKDAY(C2,2),$R$5:$R$11,0))))))</formula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5"/>
    <col customWidth="1" min="3" max="3" width="2.88"/>
    <col customWidth="1" min="4" max="4" width="7.5"/>
    <col customWidth="1" min="6" max="6" width="17.13"/>
    <col customWidth="1" min="7" max="7" width="26.25"/>
    <col customWidth="1" min="8" max="8" width="13.38"/>
    <col customWidth="1" min="9" max="9" width="22.63"/>
    <col customWidth="1" min="10" max="10" width="25.38"/>
    <col customWidth="1" min="14" max="14" width="23.63"/>
    <col customWidth="1" min="16" max="16" width="14.25"/>
  </cols>
  <sheetData>
    <row r="1">
      <c r="A1" s="11">
        <v>45323.0</v>
      </c>
      <c r="B1" s="12" t="s">
        <v>13</v>
      </c>
      <c r="C1" s="13"/>
      <c r="D1" s="14"/>
      <c r="E1" s="15" t="s">
        <v>5</v>
      </c>
      <c r="F1" s="15" t="s">
        <v>14</v>
      </c>
      <c r="G1" s="12"/>
      <c r="H1" s="12"/>
      <c r="I1" s="12" t="s">
        <v>15</v>
      </c>
      <c r="J1" s="12" t="s">
        <v>16</v>
      </c>
    </row>
    <row r="2">
      <c r="A2" s="16">
        <f>A1</f>
        <v>45323</v>
      </c>
      <c r="B2" s="17">
        <f>WEEKNUM(A1)</f>
        <v>5</v>
      </c>
      <c r="C2" s="18">
        <f>A1-WEEKDAY(A1,2)+1</f>
        <v>45320</v>
      </c>
      <c r="D2" s="19">
        <f t="shared" ref="D2:D43" si="1">C2</f>
        <v>45320</v>
      </c>
      <c r="F2" s="20"/>
      <c r="N2" s="21"/>
    </row>
    <row r="3">
      <c r="A3" s="22"/>
      <c r="B3" s="23"/>
      <c r="C3" s="18">
        <f t="shared" ref="C3:C43" si="2">C2+1</f>
        <v>45321</v>
      </c>
      <c r="D3" s="24">
        <f t="shared" si="1"/>
        <v>45321</v>
      </c>
      <c r="N3" s="21"/>
    </row>
    <row r="4">
      <c r="A4" s="22"/>
      <c r="B4" s="23"/>
      <c r="C4" s="18">
        <f t="shared" si="2"/>
        <v>45322</v>
      </c>
      <c r="D4" s="24">
        <f t="shared" si="1"/>
        <v>45322</v>
      </c>
      <c r="N4" s="21"/>
    </row>
    <row r="5">
      <c r="A5" s="22"/>
      <c r="B5" s="23"/>
      <c r="C5" s="18">
        <f t="shared" si="2"/>
        <v>45323</v>
      </c>
      <c r="D5" s="24">
        <f t="shared" si="1"/>
        <v>45323</v>
      </c>
      <c r="E5" s="25"/>
      <c r="M5" s="26"/>
      <c r="N5" s="21" t="s">
        <v>17</v>
      </c>
      <c r="Q5" s="27"/>
      <c r="R5" s="27">
        <v>1.0</v>
      </c>
    </row>
    <row r="6">
      <c r="A6" s="22"/>
      <c r="B6" s="23"/>
      <c r="C6" s="18">
        <f t="shared" si="2"/>
        <v>45324</v>
      </c>
      <c r="D6" s="24">
        <f t="shared" si="1"/>
        <v>45324</v>
      </c>
      <c r="E6" s="25"/>
      <c r="M6" s="28"/>
      <c r="N6" s="21" t="s">
        <v>18</v>
      </c>
      <c r="Q6" s="27"/>
      <c r="R6" s="27">
        <v>2.0</v>
      </c>
    </row>
    <row r="7">
      <c r="A7" s="22"/>
      <c r="B7" s="23"/>
      <c r="C7" s="18">
        <f t="shared" si="2"/>
        <v>45325</v>
      </c>
      <c r="D7" s="24">
        <f t="shared" si="1"/>
        <v>45325</v>
      </c>
      <c r="E7" s="25"/>
      <c r="Q7" s="29"/>
      <c r="R7" s="27">
        <v>3.0</v>
      </c>
    </row>
    <row r="8">
      <c r="A8" s="22"/>
      <c r="B8" s="30"/>
      <c r="C8" s="18">
        <f t="shared" si="2"/>
        <v>45326</v>
      </c>
      <c r="D8" s="24">
        <f t="shared" si="1"/>
        <v>45326</v>
      </c>
      <c r="E8" s="31"/>
      <c r="F8" s="31"/>
      <c r="G8" s="32" t="s">
        <v>158</v>
      </c>
      <c r="H8" s="32"/>
      <c r="I8" s="32"/>
      <c r="J8" s="31"/>
      <c r="M8" s="33"/>
      <c r="N8" s="21" t="s">
        <v>19</v>
      </c>
      <c r="Q8" s="29"/>
      <c r="R8" s="27">
        <v>4.0</v>
      </c>
    </row>
    <row r="9">
      <c r="A9" s="22"/>
      <c r="B9" s="34">
        <f>B2+1</f>
        <v>6</v>
      </c>
      <c r="C9" s="35">
        <f t="shared" si="2"/>
        <v>45327</v>
      </c>
      <c r="D9" s="36">
        <f t="shared" si="1"/>
        <v>45327</v>
      </c>
      <c r="E9" s="21" t="s">
        <v>26</v>
      </c>
      <c r="F9" s="20"/>
      <c r="G9" s="20"/>
      <c r="H9" s="20"/>
      <c r="I9" s="20"/>
      <c r="J9" s="20"/>
      <c r="M9" s="37"/>
      <c r="N9" s="21" t="s">
        <v>20</v>
      </c>
      <c r="Q9" s="29"/>
      <c r="R9" s="27">
        <v>5.0</v>
      </c>
    </row>
    <row r="10">
      <c r="A10" s="22"/>
      <c r="C10" s="18">
        <f t="shared" si="2"/>
        <v>45328</v>
      </c>
      <c r="D10" s="24">
        <f t="shared" si="1"/>
        <v>45328</v>
      </c>
      <c r="F10" s="21" t="s">
        <v>26</v>
      </c>
      <c r="G10" s="21" t="s">
        <v>157</v>
      </c>
      <c r="Q10" s="29"/>
      <c r="R10" s="27">
        <v>6.0</v>
      </c>
    </row>
    <row r="11">
      <c r="A11" s="22"/>
      <c r="C11" s="18">
        <f t="shared" si="2"/>
        <v>45329</v>
      </c>
      <c r="D11" s="24">
        <f t="shared" si="1"/>
        <v>45329</v>
      </c>
      <c r="F11" s="21" t="s">
        <v>26</v>
      </c>
      <c r="G11" s="21" t="s">
        <v>157</v>
      </c>
      <c r="Q11" s="29"/>
      <c r="R11" s="27">
        <v>7.0</v>
      </c>
    </row>
    <row r="12">
      <c r="A12" s="22"/>
      <c r="C12" s="18">
        <f t="shared" si="2"/>
        <v>45330</v>
      </c>
      <c r="D12" s="24">
        <f t="shared" si="1"/>
        <v>45330</v>
      </c>
      <c r="F12" s="25"/>
      <c r="J12" s="21" t="s">
        <v>159</v>
      </c>
      <c r="K12" s="38"/>
    </row>
    <row r="13">
      <c r="A13" s="22"/>
      <c r="C13" s="18">
        <f t="shared" si="2"/>
        <v>45331</v>
      </c>
      <c r="D13" s="24">
        <f t="shared" si="1"/>
        <v>45331</v>
      </c>
      <c r="F13" s="25"/>
    </row>
    <row r="14">
      <c r="A14" s="22"/>
      <c r="C14" s="18">
        <f t="shared" si="2"/>
        <v>45332</v>
      </c>
      <c r="D14" s="24">
        <f t="shared" si="1"/>
        <v>45332</v>
      </c>
      <c r="F14" s="25"/>
    </row>
    <row r="15">
      <c r="A15" s="22"/>
      <c r="B15" s="39"/>
      <c r="C15" s="18">
        <f t="shared" si="2"/>
        <v>45333</v>
      </c>
      <c r="D15" s="24">
        <f t="shared" si="1"/>
        <v>45333</v>
      </c>
      <c r="E15" s="31"/>
      <c r="F15" s="31"/>
      <c r="G15" s="32" t="s">
        <v>160</v>
      </c>
      <c r="H15" s="31"/>
      <c r="I15" s="31"/>
      <c r="J15" s="31"/>
    </row>
    <row r="16">
      <c r="A16" s="22"/>
      <c r="B16" s="34">
        <f>B9+1</f>
        <v>7</v>
      </c>
      <c r="C16" s="35">
        <f t="shared" si="2"/>
        <v>45334</v>
      </c>
      <c r="D16" s="36">
        <f t="shared" si="1"/>
        <v>45334</v>
      </c>
      <c r="E16" s="21" t="s">
        <v>28</v>
      </c>
      <c r="F16" s="20"/>
      <c r="I16" s="20"/>
      <c r="J16" s="20"/>
      <c r="N16" s="40"/>
      <c r="O16" s="41"/>
      <c r="P16" s="41"/>
      <c r="R16" s="41"/>
    </row>
    <row r="17">
      <c r="A17" s="22"/>
      <c r="C17" s="18">
        <f t="shared" si="2"/>
        <v>45335</v>
      </c>
      <c r="D17" s="24">
        <f t="shared" si="1"/>
        <v>45335</v>
      </c>
      <c r="E17" s="25"/>
      <c r="N17" s="40"/>
      <c r="O17" s="41"/>
      <c r="P17" s="41"/>
      <c r="R17" s="41"/>
    </row>
    <row r="18">
      <c r="A18" s="22"/>
      <c r="C18" s="18">
        <f t="shared" si="2"/>
        <v>45336</v>
      </c>
      <c r="D18" s="24">
        <f t="shared" si="1"/>
        <v>45336</v>
      </c>
      <c r="E18" s="28"/>
      <c r="F18" s="26"/>
      <c r="N18" s="40"/>
      <c r="O18" s="41"/>
      <c r="P18" s="41"/>
      <c r="R18" s="41"/>
    </row>
    <row r="19">
      <c r="A19" s="22"/>
      <c r="C19" s="18">
        <f t="shared" si="2"/>
        <v>45337</v>
      </c>
      <c r="D19" s="24">
        <f t="shared" si="1"/>
        <v>45337</v>
      </c>
      <c r="E19" s="28"/>
      <c r="F19" s="26"/>
      <c r="G19" s="21"/>
      <c r="N19" s="40"/>
      <c r="O19" s="41"/>
      <c r="P19" s="41"/>
      <c r="R19" s="41"/>
    </row>
    <row r="20">
      <c r="A20" s="22"/>
      <c r="C20" s="18">
        <f t="shared" si="2"/>
        <v>45338</v>
      </c>
      <c r="D20" s="24">
        <f t="shared" si="1"/>
        <v>45338</v>
      </c>
      <c r="E20" s="28"/>
      <c r="F20" s="26"/>
      <c r="N20" s="40"/>
      <c r="O20" s="41"/>
      <c r="P20" s="41"/>
      <c r="R20" s="41"/>
    </row>
    <row r="21">
      <c r="A21" s="22"/>
      <c r="C21" s="18">
        <f t="shared" si="2"/>
        <v>45339</v>
      </c>
      <c r="D21" s="24">
        <f t="shared" si="1"/>
        <v>45339</v>
      </c>
      <c r="E21" s="25"/>
      <c r="F21" s="21" t="s">
        <v>161</v>
      </c>
      <c r="I21" s="21" t="s">
        <v>106</v>
      </c>
      <c r="N21" s="40"/>
      <c r="O21" s="41"/>
      <c r="P21" s="41"/>
      <c r="R21" s="41"/>
    </row>
    <row r="22">
      <c r="A22" s="22"/>
      <c r="B22" s="39"/>
      <c r="C22" s="18">
        <f t="shared" si="2"/>
        <v>45340</v>
      </c>
      <c r="D22" s="24">
        <f t="shared" si="1"/>
        <v>45340</v>
      </c>
      <c r="E22" s="31"/>
      <c r="F22" s="31"/>
      <c r="G22" s="62" t="s">
        <v>162</v>
      </c>
      <c r="H22" s="31"/>
      <c r="I22" s="32" t="s">
        <v>106</v>
      </c>
      <c r="J22" s="31"/>
      <c r="N22" s="40"/>
      <c r="O22" s="41"/>
      <c r="P22" s="41"/>
      <c r="R22" s="41"/>
    </row>
    <row r="23">
      <c r="A23" s="22"/>
      <c r="B23" s="34">
        <f>B16+1</f>
        <v>8</v>
      </c>
      <c r="C23" s="35">
        <f t="shared" si="2"/>
        <v>45341</v>
      </c>
      <c r="D23" s="36">
        <f t="shared" si="1"/>
        <v>45341</v>
      </c>
      <c r="E23" s="26"/>
      <c r="F23" s="28"/>
      <c r="G23" s="20"/>
      <c r="H23" s="20"/>
      <c r="I23" s="21" t="s">
        <v>106</v>
      </c>
      <c r="J23" s="20"/>
      <c r="N23" s="40"/>
      <c r="O23" s="41"/>
      <c r="P23" s="41"/>
      <c r="R23" s="41"/>
    </row>
    <row r="24">
      <c r="A24" s="22"/>
      <c r="C24" s="18">
        <f t="shared" si="2"/>
        <v>45342</v>
      </c>
      <c r="D24" s="24">
        <f t="shared" si="1"/>
        <v>45342</v>
      </c>
      <c r="E24" s="26"/>
      <c r="F24" s="28"/>
      <c r="I24" s="21" t="s">
        <v>106</v>
      </c>
      <c r="N24" s="40"/>
      <c r="O24" s="41"/>
      <c r="P24" s="41"/>
      <c r="R24" s="41"/>
    </row>
    <row r="25">
      <c r="A25" s="22"/>
      <c r="C25" s="18">
        <f t="shared" si="2"/>
        <v>45343</v>
      </c>
      <c r="D25" s="24">
        <f t="shared" si="1"/>
        <v>45343</v>
      </c>
      <c r="E25" s="26"/>
      <c r="F25" s="28"/>
      <c r="I25" s="21" t="s">
        <v>106</v>
      </c>
      <c r="N25" s="40"/>
      <c r="O25" s="41"/>
      <c r="P25" s="41"/>
      <c r="R25" s="41"/>
    </row>
    <row r="26">
      <c r="A26" s="22"/>
      <c r="C26" s="18">
        <f t="shared" si="2"/>
        <v>45344</v>
      </c>
      <c r="D26" s="24">
        <f t="shared" si="1"/>
        <v>45344</v>
      </c>
      <c r="E26" s="26"/>
      <c r="F26" s="28"/>
      <c r="I26" s="21" t="s">
        <v>106</v>
      </c>
      <c r="N26" s="40"/>
      <c r="O26" s="41"/>
      <c r="P26" s="41"/>
      <c r="R26" s="41"/>
    </row>
    <row r="27">
      <c r="A27" s="22"/>
      <c r="C27" s="18">
        <f t="shared" si="2"/>
        <v>45345</v>
      </c>
      <c r="D27" s="24">
        <f t="shared" si="1"/>
        <v>45345</v>
      </c>
      <c r="E27" s="26"/>
      <c r="F27" s="28"/>
      <c r="I27" s="21" t="s">
        <v>106</v>
      </c>
      <c r="N27" s="40"/>
      <c r="O27" s="41"/>
      <c r="P27" s="41"/>
      <c r="R27" s="41"/>
    </row>
    <row r="28">
      <c r="A28" s="22"/>
      <c r="C28" s="18">
        <f t="shared" si="2"/>
        <v>45346</v>
      </c>
      <c r="D28" s="24">
        <f t="shared" si="1"/>
        <v>45346</v>
      </c>
      <c r="E28" s="26"/>
      <c r="F28" s="28"/>
      <c r="I28" s="21" t="s">
        <v>106</v>
      </c>
      <c r="N28" s="40"/>
      <c r="O28" s="41"/>
      <c r="P28" s="41"/>
      <c r="R28" s="41"/>
    </row>
    <row r="29">
      <c r="A29" s="22"/>
      <c r="B29" s="39"/>
      <c r="C29" s="18">
        <f t="shared" si="2"/>
        <v>45347</v>
      </c>
      <c r="D29" s="24">
        <f t="shared" si="1"/>
        <v>45347</v>
      </c>
      <c r="E29" s="31"/>
      <c r="F29" s="31"/>
      <c r="G29" s="32" t="s">
        <v>160</v>
      </c>
      <c r="H29" s="31"/>
      <c r="I29" s="32"/>
      <c r="J29" s="31"/>
      <c r="N29" s="40"/>
      <c r="O29" s="41"/>
      <c r="P29" s="41"/>
      <c r="R29" s="41"/>
    </row>
    <row r="30">
      <c r="A30" s="22"/>
      <c r="B30" s="34">
        <f>B23+1</f>
        <v>9</v>
      </c>
      <c r="C30" s="35">
        <f t="shared" si="2"/>
        <v>45348</v>
      </c>
      <c r="D30" s="36">
        <f t="shared" si="1"/>
        <v>45348</v>
      </c>
      <c r="E30" s="28"/>
      <c r="F30" s="26"/>
      <c r="G30" s="20"/>
      <c r="J30" s="20"/>
      <c r="N30" s="40"/>
      <c r="O30" s="41"/>
      <c r="P30" s="41"/>
      <c r="R30" s="41"/>
    </row>
    <row r="31">
      <c r="A31" s="22"/>
      <c r="C31" s="18">
        <f t="shared" si="2"/>
        <v>45349</v>
      </c>
      <c r="D31" s="24">
        <f t="shared" si="1"/>
        <v>45349</v>
      </c>
      <c r="E31" s="28"/>
      <c r="F31" s="26"/>
      <c r="N31" s="40"/>
      <c r="O31" s="41"/>
      <c r="P31" s="41"/>
      <c r="R31" s="41"/>
    </row>
    <row r="32">
      <c r="A32" s="22"/>
      <c r="C32" s="18">
        <f t="shared" si="2"/>
        <v>45350</v>
      </c>
      <c r="D32" s="24">
        <f t="shared" si="1"/>
        <v>45350</v>
      </c>
      <c r="E32" s="25"/>
      <c r="N32" s="40"/>
      <c r="O32" s="41"/>
      <c r="P32" s="41"/>
      <c r="R32" s="41"/>
    </row>
    <row r="33">
      <c r="A33" s="22"/>
      <c r="C33" s="18">
        <f t="shared" si="2"/>
        <v>45351</v>
      </c>
      <c r="D33" s="24">
        <f t="shared" si="1"/>
        <v>45351</v>
      </c>
      <c r="E33" s="25"/>
      <c r="N33" s="40"/>
      <c r="O33" s="41"/>
      <c r="P33" s="41"/>
      <c r="R33" s="41"/>
    </row>
    <row r="34">
      <c r="A34" s="22"/>
      <c r="C34" s="18">
        <f t="shared" si="2"/>
        <v>45352</v>
      </c>
      <c r="D34" s="24">
        <f t="shared" si="1"/>
        <v>45352</v>
      </c>
      <c r="N34" s="40"/>
      <c r="O34" s="41"/>
      <c r="P34" s="41"/>
      <c r="R34" s="41"/>
    </row>
    <row r="35">
      <c r="A35" s="22"/>
      <c r="C35" s="18">
        <f t="shared" si="2"/>
        <v>45353</v>
      </c>
      <c r="D35" s="24">
        <f t="shared" si="1"/>
        <v>45353</v>
      </c>
      <c r="N35" s="40"/>
      <c r="O35" s="41"/>
      <c r="P35" s="41"/>
      <c r="R35" s="41"/>
    </row>
    <row r="36">
      <c r="A36" s="22"/>
      <c r="B36" s="39"/>
      <c r="C36" s="18">
        <f t="shared" si="2"/>
        <v>45354</v>
      </c>
      <c r="D36" s="24">
        <f t="shared" si="1"/>
        <v>45354</v>
      </c>
      <c r="E36" s="31"/>
      <c r="F36" s="31"/>
      <c r="N36" s="40"/>
      <c r="O36" s="41"/>
      <c r="P36" s="41"/>
      <c r="R36" s="41"/>
    </row>
    <row r="37">
      <c r="A37" s="22"/>
      <c r="B37" s="34">
        <f>B30+1</f>
        <v>10</v>
      </c>
      <c r="C37" s="35">
        <f t="shared" si="2"/>
        <v>45355</v>
      </c>
      <c r="D37" s="36">
        <f t="shared" si="1"/>
        <v>45355</v>
      </c>
      <c r="F37" s="20"/>
      <c r="G37" s="20"/>
      <c r="H37" s="20"/>
      <c r="I37" s="20"/>
      <c r="J37" s="20"/>
    </row>
    <row r="38">
      <c r="A38" s="22"/>
      <c r="C38" s="18">
        <f t="shared" si="2"/>
        <v>45356</v>
      </c>
      <c r="D38" s="24">
        <f t="shared" si="1"/>
        <v>45356</v>
      </c>
    </row>
    <row r="39">
      <c r="A39" s="22"/>
      <c r="C39" s="18">
        <f t="shared" si="2"/>
        <v>45357</v>
      </c>
      <c r="D39" s="24">
        <f t="shared" si="1"/>
        <v>45357</v>
      </c>
    </row>
    <row r="40">
      <c r="A40" s="22"/>
      <c r="C40" s="18">
        <f t="shared" si="2"/>
        <v>45358</v>
      </c>
      <c r="D40" s="24">
        <f t="shared" si="1"/>
        <v>45358</v>
      </c>
    </row>
    <row r="41">
      <c r="A41" s="22"/>
      <c r="C41" s="18">
        <f t="shared" si="2"/>
        <v>45359</v>
      </c>
      <c r="D41" s="24">
        <f t="shared" si="1"/>
        <v>45359</v>
      </c>
    </row>
    <row r="42">
      <c r="A42" s="22"/>
      <c r="C42" s="18">
        <f t="shared" si="2"/>
        <v>45360</v>
      </c>
      <c r="D42" s="24">
        <f t="shared" si="1"/>
        <v>45360</v>
      </c>
    </row>
    <row r="43">
      <c r="A43" s="22"/>
      <c r="B43" s="39"/>
      <c r="C43" s="42">
        <f t="shared" si="2"/>
        <v>45361</v>
      </c>
      <c r="D43" s="43">
        <f t="shared" si="1"/>
        <v>45361</v>
      </c>
      <c r="E43" s="31"/>
      <c r="F43" s="31"/>
      <c r="G43" s="31"/>
      <c r="H43" s="31"/>
      <c r="I43" s="31"/>
      <c r="J43" s="31"/>
    </row>
  </sheetData>
  <autoFilter ref="$C$1:$C$1003">
    <sortState ref="C1:C1003">
      <sortCondition descending="1" sortBy="cellColor" ref="C1:C1003" dxfId="1"/>
    </sortState>
  </autoFilter>
  <mergeCells count="7">
    <mergeCell ref="A2:A43"/>
    <mergeCell ref="B2:B8"/>
    <mergeCell ref="B9:B15"/>
    <mergeCell ref="B16:B22"/>
    <mergeCell ref="B23:B29"/>
    <mergeCell ref="B30:B36"/>
    <mergeCell ref="B37:B43"/>
  </mergeCells>
  <conditionalFormatting sqref="C2:C43">
    <cfRule type="timePeriod" dxfId="2" priority="3" timePeriod="today"/>
  </conditionalFormatting>
  <conditionalFormatting sqref="E2:E17 E21:E22 E29 E32:E43">
    <cfRule type="expression" dxfId="3" priority="4">
      <formula>AND(MONTH($A$1)=MONTH(C2),OR(AND(MOD(WEEKNUM(C2,2),2),ISERROR(MATCH(WEEKDAY(C2,2),$Q$5:$Q$11,0))),AND(MOD(WEEKNUM(C2,2),2)=0,ISERROR(MATCH(WEEKDAY(C2,2),$R$5:$R$11,0)))))</formula>
    </cfRule>
  </conditionalFormatting>
  <conditionalFormatting sqref="F2:F17 F21:F22 F29 F32:F43">
    <cfRule type="expression" dxfId="3" priority="5">
      <formula>AND(MONTH($A$1)=MONTH(C2),OR(AND(MOD(WEEKNUM(C2,2),2),NOT(ISERROR(MATCH(WEEKDAY(C2,2),$Q$5:$Q$11,0)))),AND(MOD(WEEKNUM(C2,2),2)=0,NOT(ISERROR(MATCH(WEEKDAY(C2,2),$R$5:$R$11,0))))))</formula>
    </cfRule>
  </conditionalFormatting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5"/>
    <col customWidth="1" min="3" max="3" width="2.88"/>
    <col customWidth="1" min="4" max="4" width="7.5"/>
    <col customWidth="1" min="6" max="6" width="23.63"/>
    <col customWidth="1" min="7" max="7" width="19.88"/>
    <col customWidth="1" min="8" max="8" width="13.38"/>
    <col customWidth="1" min="9" max="9" width="22.63"/>
    <col customWidth="1" min="10" max="10" width="25.38"/>
    <col customWidth="1" min="14" max="14" width="23.63"/>
    <col customWidth="1" min="16" max="16" width="14.25"/>
  </cols>
  <sheetData>
    <row r="1">
      <c r="A1" s="11">
        <v>45352.0</v>
      </c>
      <c r="B1" s="12" t="s">
        <v>13</v>
      </c>
      <c r="C1" s="13"/>
      <c r="D1" s="14"/>
      <c r="E1" s="15" t="s">
        <v>5</v>
      </c>
      <c r="F1" s="15" t="s">
        <v>14</v>
      </c>
      <c r="G1" s="12"/>
      <c r="H1" s="12"/>
      <c r="I1" s="12" t="s">
        <v>15</v>
      </c>
      <c r="J1" s="12" t="s">
        <v>16</v>
      </c>
    </row>
    <row r="2">
      <c r="A2" s="16">
        <f>A1</f>
        <v>45352</v>
      </c>
      <c r="B2" s="17">
        <f>WEEKNUM(A1)</f>
        <v>9</v>
      </c>
      <c r="C2" s="18">
        <f>A1-WEEKDAY(A1,2)+1</f>
        <v>45348</v>
      </c>
      <c r="D2" s="19">
        <f t="shared" ref="D2:D43" si="1">C2</f>
        <v>45348</v>
      </c>
      <c r="F2" s="20"/>
      <c r="N2" s="21"/>
    </row>
    <row r="3">
      <c r="A3" s="22"/>
      <c r="B3" s="23"/>
      <c r="C3" s="18">
        <f t="shared" ref="C3:C43" si="2">C2+1</f>
        <v>45349</v>
      </c>
      <c r="D3" s="24">
        <f t="shared" si="1"/>
        <v>45349</v>
      </c>
      <c r="N3" s="21"/>
    </row>
    <row r="4">
      <c r="A4" s="22"/>
      <c r="B4" s="23"/>
      <c r="C4" s="18">
        <f t="shared" si="2"/>
        <v>45350</v>
      </c>
      <c r="D4" s="24">
        <f t="shared" si="1"/>
        <v>45350</v>
      </c>
      <c r="N4" s="21"/>
    </row>
    <row r="5">
      <c r="A5" s="22"/>
      <c r="B5" s="23"/>
      <c r="C5" s="18">
        <f t="shared" si="2"/>
        <v>45351</v>
      </c>
      <c r="D5" s="24">
        <f t="shared" si="1"/>
        <v>45351</v>
      </c>
      <c r="M5" s="26"/>
      <c r="N5" s="21" t="s">
        <v>17</v>
      </c>
      <c r="Q5" s="27"/>
      <c r="R5" s="27">
        <v>1.0</v>
      </c>
    </row>
    <row r="6">
      <c r="A6" s="22"/>
      <c r="B6" s="23"/>
      <c r="C6" s="18">
        <f t="shared" si="2"/>
        <v>45352</v>
      </c>
      <c r="D6" s="24">
        <f t="shared" si="1"/>
        <v>45352</v>
      </c>
      <c r="E6" s="25"/>
      <c r="M6" s="28"/>
      <c r="N6" s="21" t="s">
        <v>18</v>
      </c>
      <c r="Q6" s="27"/>
      <c r="R6" s="27">
        <v>2.0</v>
      </c>
    </row>
    <row r="7">
      <c r="A7" s="22"/>
      <c r="B7" s="23"/>
      <c r="C7" s="18">
        <f t="shared" si="2"/>
        <v>45353</v>
      </c>
      <c r="D7" s="24">
        <f t="shared" si="1"/>
        <v>45353</v>
      </c>
      <c r="E7" s="25"/>
      <c r="Q7" s="29"/>
      <c r="R7" s="27">
        <v>3.0</v>
      </c>
    </row>
    <row r="8">
      <c r="A8" s="22"/>
      <c r="B8" s="30"/>
      <c r="C8" s="18">
        <f t="shared" si="2"/>
        <v>45354</v>
      </c>
      <c r="D8" s="24">
        <f t="shared" si="1"/>
        <v>45354</v>
      </c>
      <c r="E8" s="31"/>
      <c r="F8" s="31"/>
      <c r="G8" s="32" t="s">
        <v>160</v>
      </c>
      <c r="H8" s="32"/>
      <c r="I8" s="32"/>
      <c r="J8" s="31"/>
      <c r="M8" s="33"/>
      <c r="N8" s="21" t="s">
        <v>19</v>
      </c>
      <c r="Q8" s="29"/>
      <c r="R8" s="27">
        <v>4.0</v>
      </c>
    </row>
    <row r="9">
      <c r="A9" s="22"/>
      <c r="B9" s="34">
        <f>B2+1</f>
        <v>10</v>
      </c>
      <c r="C9" s="35">
        <f t="shared" si="2"/>
        <v>45355</v>
      </c>
      <c r="D9" s="36">
        <f t="shared" si="1"/>
        <v>45355</v>
      </c>
      <c r="F9" s="20"/>
      <c r="G9" s="20"/>
      <c r="H9" s="20"/>
      <c r="I9" s="20"/>
      <c r="J9" s="20"/>
      <c r="M9" s="37"/>
      <c r="N9" s="21" t="s">
        <v>20</v>
      </c>
      <c r="Q9" s="29"/>
      <c r="R9" s="27">
        <v>5.0</v>
      </c>
    </row>
    <row r="10">
      <c r="A10" s="22"/>
      <c r="C10" s="18">
        <f t="shared" si="2"/>
        <v>45356</v>
      </c>
      <c r="D10" s="24">
        <f t="shared" si="1"/>
        <v>45356</v>
      </c>
      <c r="F10" s="25"/>
      <c r="Q10" s="29"/>
      <c r="R10" s="27">
        <v>6.0</v>
      </c>
    </row>
    <row r="11">
      <c r="A11" s="22"/>
      <c r="C11" s="18">
        <f t="shared" si="2"/>
        <v>45357</v>
      </c>
      <c r="D11" s="24">
        <f t="shared" si="1"/>
        <v>45357</v>
      </c>
      <c r="F11" s="25"/>
      <c r="J11" s="21" t="s">
        <v>163</v>
      </c>
      <c r="Q11" s="29"/>
      <c r="R11" s="27">
        <v>7.0</v>
      </c>
    </row>
    <row r="12">
      <c r="A12" s="22"/>
      <c r="C12" s="18">
        <f t="shared" si="2"/>
        <v>45358</v>
      </c>
      <c r="D12" s="24">
        <f t="shared" si="1"/>
        <v>45358</v>
      </c>
      <c r="F12" s="25"/>
      <c r="K12" s="38"/>
    </row>
    <row r="13">
      <c r="A13" s="22"/>
      <c r="C13" s="18">
        <f t="shared" si="2"/>
        <v>45359</v>
      </c>
      <c r="D13" s="24">
        <f t="shared" si="1"/>
        <v>45359</v>
      </c>
      <c r="F13" s="25"/>
    </row>
    <row r="14">
      <c r="A14" s="22"/>
      <c r="C14" s="18">
        <f t="shared" si="2"/>
        <v>45360</v>
      </c>
      <c r="D14" s="24">
        <f t="shared" si="1"/>
        <v>45360</v>
      </c>
      <c r="F14" s="25"/>
    </row>
    <row r="15">
      <c r="A15" s="22"/>
      <c r="B15" s="39"/>
      <c r="C15" s="18">
        <f t="shared" si="2"/>
        <v>45361</v>
      </c>
      <c r="D15" s="24">
        <f t="shared" si="1"/>
        <v>45361</v>
      </c>
      <c r="E15" s="31"/>
      <c r="F15" s="31"/>
      <c r="G15" s="32" t="s">
        <v>160</v>
      </c>
      <c r="H15" s="31"/>
      <c r="I15" s="31"/>
      <c r="J15" s="31"/>
    </row>
    <row r="16">
      <c r="A16" s="22"/>
      <c r="B16" s="34">
        <f>B9+1</f>
        <v>11</v>
      </c>
      <c r="C16" s="35">
        <f t="shared" si="2"/>
        <v>45362</v>
      </c>
      <c r="D16" s="36">
        <f t="shared" si="1"/>
        <v>45362</v>
      </c>
      <c r="E16" s="25"/>
      <c r="F16" s="20"/>
      <c r="I16" s="20"/>
      <c r="J16" s="20"/>
      <c r="N16" s="40"/>
      <c r="O16" s="41"/>
      <c r="P16" s="41"/>
      <c r="R16" s="41"/>
    </row>
    <row r="17">
      <c r="A17" s="22"/>
      <c r="C17" s="18">
        <f t="shared" si="2"/>
        <v>45363</v>
      </c>
      <c r="D17" s="24">
        <f t="shared" si="1"/>
        <v>45363</v>
      </c>
      <c r="E17" s="21" t="s">
        <v>28</v>
      </c>
      <c r="N17" s="40"/>
      <c r="O17" s="41"/>
      <c r="P17" s="41"/>
      <c r="R17" s="41"/>
    </row>
    <row r="18">
      <c r="A18" s="22"/>
      <c r="C18" s="18">
        <f t="shared" si="2"/>
        <v>45364</v>
      </c>
      <c r="D18" s="24">
        <f t="shared" si="1"/>
        <v>45364</v>
      </c>
      <c r="E18" s="25"/>
      <c r="N18" s="40"/>
      <c r="O18" s="41"/>
      <c r="P18" s="41"/>
      <c r="R18" s="41"/>
    </row>
    <row r="19">
      <c r="A19" s="22"/>
      <c r="C19" s="18">
        <f t="shared" si="2"/>
        <v>45365</v>
      </c>
      <c r="D19" s="24">
        <f t="shared" si="1"/>
        <v>45365</v>
      </c>
      <c r="E19" s="25"/>
      <c r="G19" s="21"/>
      <c r="N19" s="40"/>
      <c r="O19" s="41"/>
      <c r="P19" s="41"/>
      <c r="R19" s="41"/>
    </row>
    <row r="20">
      <c r="A20" s="22"/>
      <c r="C20" s="18">
        <f t="shared" si="2"/>
        <v>45366</v>
      </c>
      <c r="D20" s="24">
        <f t="shared" si="1"/>
        <v>45366</v>
      </c>
      <c r="E20" s="25"/>
      <c r="N20" s="40"/>
      <c r="O20" s="41"/>
      <c r="P20" s="41"/>
      <c r="R20" s="41"/>
    </row>
    <row r="21">
      <c r="A21" s="22"/>
      <c r="C21" s="18">
        <f t="shared" si="2"/>
        <v>45367</v>
      </c>
      <c r="D21" s="24">
        <f t="shared" si="1"/>
        <v>45367</v>
      </c>
      <c r="E21" s="25"/>
      <c r="N21" s="40"/>
      <c r="O21" s="41"/>
      <c r="P21" s="41"/>
      <c r="R21" s="41"/>
    </row>
    <row r="22">
      <c r="A22" s="22"/>
      <c r="B22" s="39"/>
      <c r="C22" s="18">
        <f t="shared" si="2"/>
        <v>45368</v>
      </c>
      <c r="D22" s="24">
        <f t="shared" si="1"/>
        <v>45368</v>
      </c>
      <c r="E22" s="31"/>
      <c r="F22" s="31"/>
      <c r="G22" s="32" t="s">
        <v>160</v>
      </c>
      <c r="H22" s="31"/>
      <c r="I22" s="32"/>
      <c r="J22" s="31"/>
      <c r="N22" s="40"/>
      <c r="O22" s="41"/>
      <c r="P22" s="41"/>
      <c r="R22" s="41"/>
    </row>
    <row r="23">
      <c r="A23" s="22"/>
      <c r="B23" s="34">
        <f>B16+1</f>
        <v>12</v>
      </c>
      <c r="C23" s="35">
        <f t="shared" si="2"/>
        <v>45369</v>
      </c>
      <c r="D23" s="36">
        <f t="shared" si="1"/>
        <v>45369</v>
      </c>
      <c r="F23" s="20"/>
      <c r="G23" s="20"/>
      <c r="H23" s="20"/>
      <c r="J23" s="20"/>
      <c r="N23" s="40"/>
      <c r="O23" s="41"/>
      <c r="P23" s="41"/>
      <c r="R23" s="41"/>
    </row>
    <row r="24">
      <c r="A24" s="22"/>
      <c r="C24" s="18">
        <f t="shared" si="2"/>
        <v>45370</v>
      </c>
      <c r="D24" s="24">
        <f t="shared" si="1"/>
        <v>45370</v>
      </c>
      <c r="F24" s="21" t="s">
        <v>26</v>
      </c>
      <c r="G24" s="21" t="s">
        <v>157</v>
      </c>
      <c r="N24" s="40"/>
      <c r="O24" s="41"/>
      <c r="P24" s="41"/>
      <c r="R24" s="41"/>
    </row>
    <row r="25">
      <c r="A25" s="22"/>
      <c r="C25" s="18">
        <f t="shared" si="2"/>
        <v>45371</v>
      </c>
      <c r="D25" s="24">
        <f t="shared" si="1"/>
        <v>45371</v>
      </c>
      <c r="F25" s="21" t="s">
        <v>26</v>
      </c>
      <c r="G25" s="21" t="s">
        <v>157</v>
      </c>
      <c r="N25" s="40"/>
      <c r="O25" s="41"/>
      <c r="P25" s="41"/>
      <c r="R25" s="41"/>
    </row>
    <row r="26">
      <c r="A26" s="22"/>
      <c r="C26" s="18">
        <f t="shared" si="2"/>
        <v>45372</v>
      </c>
      <c r="D26" s="24">
        <f t="shared" si="1"/>
        <v>45372</v>
      </c>
      <c r="F26" s="25"/>
      <c r="G26" s="21" t="s">
        <v>164</v>
      </c>
      <c r="N26" s="40"/>
      <c r="O26" s="41"/>
      <c r="P26" s="41"/>
      <c r="R26" s="41"/>
    </row>
    <row r="27">
      <c r="A27" s="22"/>
      <c r="C27" s="18">
        <f t="shared" si="2"/>
        <v>45373</v>
      </c>
      <c r="D27" s="24">
        <f t="shared" si="1"/>
        <v>45373</v>
      </c>
      <c r="F27" s="25"/>
      <c r="N27" s="40"/>
      <c r="O27" s="41"/>
      <c r="P27" s="41"/>
      <c r="R27" s="41"/>
    </row>
    <row r="28">
      <c r="A28" s="22"/>
      <c r="C28" s="18">
        <f t="shared" si="2"/>
        <v>45374</v>
      </c>
      <c r="D28" s="24">
        <f t="shared" si="1"/>
        <v>45374</v>
      </c>
      <c r="F28" s="25"/>
      <c r="N28" s="40"/>
      <c r="O28" s="41"/>
      <c r="P28" s="41"/>
      <c r="R28" s="41"/>
    </row>
    <row r="29">
      <c r="A29" s="22"/>
      <c r="B29" s="39"/>
      <c r="C29" s="18">
        <f t="shared" si="2"/>
        <v>45375</v>
      </c>
      <c r="D29" s="24">
        <f t="shared" si="1"/>
        <v>45375</v>
      </c>
      <c r="E29" s="31"/>
      <c r="F29" s="31"/>
      <c r="G29" s="32" t="s">
        <v>160</v>
      </c>
      <c r="H29" s="31"/>
      <c r="I29" s="32"/>
      <c r="J29" s="31"/>
      <c r="N29" s="40"/>
      <c r="O29" s="41"/>
      <c r="P29" s="41"/>
      <c r="R29" s="41"/>
    </row>
    <row r="30">
      <c r="A30" s="22"/>
      <c r="B30" s="34">
        <f>B23+1</f>
        <v>13</v>
      </c>
      <c r="C30" s="35">
        <f t="shared" si="2"/>
        <v>45376</v>
      </c>
      <c r="D30" s="36">
        <f t="shared" si="1"/>
        <v>45376</v>
      </c>
      <c r="E30" s="25"/>
      <c r="F30" s="20"/>
      <c r="G30" s="20"/>
      <c r="J30" s="20"/>
      <c r="N30" s="40"/>
      <c r="O30" s="41"/>
      <c r="P30" s="41"/>
      <c r="R30" s="41"/>
    </row>
    <row r="31">
      <c r="A31" s="22"/>
      <c r="C31" s="18">
        <f t="shared" si="2"/>
        <v>45377</v>
      </c>
      <c r="D31" s="24">
        <f t="shared" si="1"/>
        <v>45377</v>
      </c>
      <c r="E31" s="25"/>
      <c r="N31" s="40"/>
      <c r="O31" s="41"/>
      <c r="P31" s="41"/>
      <c r="R31" s="41"/>
    </row>
    <row r="32">
      <c r="A32" s="22"/>
      <c r="C32" s="18">
        <f t="shared" si="2"/>
        <v>45378</v>
      </c>
      <c r="D32" s="24">
        <f t="shared" si="1"/>
        <v>45378</v>
      </c>
      <c r="E32" s="25"/>
      <c r="I32" s="21" t="s">
        <v>22</v>
      </c>
      <c r="N32" s="40"/>
      <c r="O32" s="41"/>
      <c r="P32" s="41"/>
      <c r="R32" s="41"/>
    </row>
    <row r="33">
      <c r="A33" s="22"/>
      <c r="C33" s="18">
        <f t="shared" si="2"/>
        <v>45379</v>
      </c>
      <c r="D33" s="24">
        <f t="shared" si="1"/>
        <v>45379</v>
      </c>
      <c r="E33" s="25"/>
      <c r="G33" s="21" t="s">
        <v>165</v>
      </c>
      <c r="I33" s="21" t="s">
        <v>22</v>
      </c>
      <c r="J33" s="21" t="s">
        <v>106</v>
      </c>
      <c r="N33" s="40"/>
      <c r="O33" s="41"/>
      <c r="P33" s="41"/>
      <c r="R33" s="41"/>
    </row>
    <row r="34">
      <c r="A34" s="22"/>
      <c r="C34" s="18">
        <f t="shared" si="2"/>
        <v>45380</v>
      </c>
      <c r="D34" s="24">
        <f t="shared" si="1"/>
        <v>45380</v>
      </c>
      <c r="E34" s="25"/>
      <c r="G34" s="21" t="s">
        <v>166</v>
      </c>
      <c r="I34" s="21" t="s">
        <v>22</v>
      </c>
      <c r="J34" s="21" t="s">
        <v>106</v>
      </c>
      <c r="N34" s="40"/>
      <c r="O34" s="41"/>
      <c r="P34" s="41"/>
      <c r="R34" s="41"/>
    </row>
    <row r="35">
      <c r="A35" s="22"/>
      <c r="C35" s="18">
        <f t="shared" si="2"/>
        <v>45381</v>
      </c>
      <c r="D35" s="24">
        <f t="shared" si="1"/>
        <v>45381</v>
      </c>
      <c r="E35" s="25"/>
      <c r="G35" s="21" t="s">
        <v>99</v>
      </c>
      <c r="I35" s="21" t="s">
        <v>22</v>
      </c>
      <c r="J35" s="21" t="s">
        <v>106</v>
      </c>
      <c r="N35" s="40"/>
      <c r="O35" s="41"/>
      <c r="P35" s="41"/>
      <c r="R35" s="41"/>
    </row>
    <row r="36">
      <c r="A36" s="22"/>
      <c r="B36" s="39"/>
      <c r="C36" s="18">
        <f t="shared" si="2"/>
        <v>45382</v>
      </c>
      <c r="D36" s="24">
        <f t="shared" si="1"/>
        <v>45382</v>
      </c>
      <c r="E36" s="31"/>
      <c r="F36" s="32"/>
      <c r="G36" s="21" t="s">
        <v>100</v>
      </c>
      <c r="I36" s="21" t="s">
        <v>22</v>
      </c>
      <c r="J36" s="21" t="s">
        <v>106</v>
      </c>
      <c r="N36" s="40"/>
      <c r="O36" s="41"/>
      <c r="P36" s="41"/>
      <c r="R36" s="41"/>
    </row>
    <row r="37">
      <c r="A37" s="22"/>
      <c r="B37" s="34">
        <f>B30+1</f>
        <v>14</v>
      </c>
      <c r="C37" s="35">
        <f t="shared" si="2"/>
        <v>45383</v>
      </c>
      <c r="D37" s="36">
        <f t="shared" si="1"/>
        <v>45383</v>
      </c>
      <c r="F37" s="20"/>
      <c r="G37" s="20"/>
      <c r="H37" s="20"/>
      <c r="I37" s="20"/>
      <c r="J37" s="20"/>
    </row>
    <row r="38">
      <c r="A38" s="22"/>
      <c r="C38" s="18">
        <f t="shared" si="2"/>
        <v>45384</v>
      </c>
      <c r="D38" s="24">
        <f t="shared" si="1"/>
        <v>45384</v>
      </c>
    </row>
    <row r="39">
      <c r="A39" s="22"/>
      <c r="C39" s="18">
        <f t="shared" si="2"/>
        <v>45385</v>
      </c>
      <c r="D39" s="24">
        <f t="shared" si="1"/>
        <v>45385</v>
      </c>
    </row>
    <row r="40">
      <c r="A40" s="22"/>
      <c r="C40" s="18">
        <f t="shared" si="2"/>
        <v>45386</v>
      </c>
      <c r="D40" s="24">
        <f t="shared" si="1"/>
        <v>45386</v>
      </c>
    </row>
    <row r="41">
      <c r="A41" s="22"/>
      <c r="C41" s="18">
        <f t="shared" si="2"/>
        <v>45387</v>
      </c>
      <c r="D41" s="24">
        <f t="shared" si="1"/>
        <v>45387</v>
      </c>
    </row>
    <row r="42">
      <c r="A42" s="22"/>
      <c r="C42" s="18">
        <f t="shared" si="2"/>
        <v>45388</v>
      </c>
      <c r="D42" s="24">
        <f t="shared" si="1"/>
        <v>45388</v>
      </c>
    </row>
    <row r="43">
      <c r="A43" s="22"/>
      <c r="B43" s="39"/>
      <c r="C43" s="42">
        <f t="shared" si="2"/>
        <v>45389</v>
      </c>
      <c r="D43" s="43">
        <f t="shared" si="1"/>
        <v>45389</v>
      </c>
      <c r="E43" s="31"/>
      <c r="F43" s="31"/>
      <c r="G43" s="31"/>
      <c r="H43" s="31"/>
      <c r="I43" s="31"/>
      <c r="J43" s="31"/>
    </row>
  </sheetData>
  <autoFilter ref="$C$1:$C$1003">
    <sortState ref="C1:C1003">
      <sortCondition descending="1" sortBy="cellColor" ref="C1:C1003" dxfId="1"/>
    </sortState>
  </autoFilter>
  <mergeCells count="7">
    <mergeCell ref="A2:A43"/>
    <mergeCell ref="B2:B8"/>
    <mergeCell ref="B9:B15"/>
    <mergeCell ref="B16:B22"/>
    <mergeCell ref="B23:B29"/>
    <mergeCell ref="B30:B36"/>
    <mergeCell ref="B37:B43"/>
  </mergeCells>
  <conditionalFormatting sqref="C2:C43">
    <cfRule type="timePeriod" dxfId="2" priority="3" timePeriod="today"/>
  </conditionalFormatting>
  <conditionalFormatting sqref="E2:E43">
    <cfRule type="expression" dxfId="3" priority="4">
      <formula>AND(MONTH($A$1)=MONTH(C2),OR(AND(MOD(WEEKNUM(C2,2),2),ISERROR(MATCH(WEEKDAY(C2,2),$Q$5:$Q$11,0))),AND(MOD(WEEKNUM(C2,2),2)=0,ISERROR(MATCH(WEEKDAY(C2,2),$R$5:$R$11,0)))))</formula>
    </cfRule>
  </conditionalFormatting>
  <conditionalFormatting sqref="F2:F35 F37:F43">
    <cfRule type="expression" dxfId="3" priority="5">
      <formula>AND(MONTH($A$1)=MONTH(C2),OR(AND(MOD(WEEKNUM(C2,2),2),NOT(ISERROR(MATCH(WEEKDAY(C2,2),$Q$5:$Q$11,0)))),AND(MOD(WEEKNUM(C2,2),2)=0,NOT(ISERROR(MATCH(WEEKDAY(C2,2),$R$5:$R$11,0))))))</formula>
    </cfRule>
  </conditionalFormatting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5"/>
    <col customWidth="1" min="3" max="3" width="2.88"/>
    <col customWidth="1" min="4" max="4" width="7.5"/>
    <col customWidth="1" min="5" max="5" width="22.75"/>
    <col customWidth="1" min="6" max="6" width="24.75"/>
    <col customWidth="1" min="7" max="7" width="55.0"/>
    <col customWidth="1" min="8" max="8" width="25.0"/>
    <col customWidth="1" min="9" max="9" width="22.63"/>
    <col customWidth="1" min="10" max="10" width="25.38"/>
    <col customWidth="1" min="14" max="14" width="23.63"/>
    <col customWidth="1" min="16" max="16" width="14.25"/>
  </cols>
  <sheetData>
    <row r="1">
      <c r="A1" s="11">
        <v>45413.0</v>
      </c>
      <c r="B1" s="12" t="s">
        <v>13</v>
      </c>
      <c r="C1" s="13"/>
      <c r="D1" s="14"/>
      <c r="E1" s="15" t="s">
        <v>5</v>
      </c>
      <c r="F1" s="15" t="s">
        <v>14</v>
      </c>
      <c r="G1" s="12"/>
      <c r="H1" s="12"/>
      <c r="I1" s="12" t="s">
        <v>15</v>
      </c>
      <c r="J1" s="12" t="s">
        <v>16</v>
      </c>
    </row>
    <row r="2">
      <c r="A2" s="16">
        <f>A1</f>
        <v>45413</v>
      </c>
      <c r="B2" s="17">
        <f>WEEKNUM(A1)</f>
        <v>18</v>
      </c>
      <c r="C2" s="18">
        <f>A1-WEEKDAY(A1,2)+1</f>
        <v>45411</v>
      </c>
      <c r="D2" s="19">
        <f t="shared" ref="D2:D43" si="1">C2</f>
        <v>45411</v>
      </c>
      <c r="F2" s="20"/>
      <c r="N2" s="21"/>
    </row>
    <row r="3">
      <c r="A3" s="22"/>
      <c r="B3" s="23"/>
      <c r="C3" s="18">
        <f t="shared" ref="C3:C43" si="2">C2+1</f>
        <v>45412</v>
      </c>
      <c r="D3" s="24">
        <f t="shared" si="1"/>
        <v>45412</v>
      </c>
      <c r="N3" s="21"/>
    </row>
    <row r="4">
      <c r="A4" s="22"/>
      <c r="B4" s="23"/>
      <c r="C4" s="44">
        <f t="shared" si="2"/>
        <v>45413</v>
      </c>
      <c r="D4" s="97">
        <f t="shared" si="1"/>
        <v>45413</v>
      </c>
      <c r="F4" s="25"/>
      <c r="G4" s="60" t="s">
        <v>167</v>
      </c>
      <c r="N4" s="21"/>
    </row>
    <row r="5">
      <c r="A5" s="22"/>
      <c r="B5" s="23"/>
      <c r="C5" s="18">
        <f t="shared" si="2"/>
        <v>45414</v>
      </c>
      <c r="D5" s="24">
        <f t="shared" si="1"/>
        <v>45414</v>
      </c>
      <c r="F5" s="25"/>
      <c r="M5" s="26"/>
      <c r="N5" s="21" t="s">
        <v>17</v>
      </c>
      <c r="Q5" s="27"/>
      <c r="R5" s="27">
        <v>1.0</v>
      </c>
    </row>
    <row r="6">
      <c r="A6" s="22"/>
      <c r="B6" s="23"/>
      <c r="C6" s="18">
        <f t="shared" si="2"/>
        <v>45415</v>
      </c>
      <c r="D6" s="24">
        <f t="shared" si="1"/>
        <v>45415</v>
      </c>
      <c r="F6" s="25"/>
      <c r="M6" s="28"/>
      <c r="N6" s="21" t="s">
        <v>18</v>
      </c>
      <c r="Q6" s="27"/>
      <c r="R6" s="27">
        <v>2.0</v>
      </c>
    </row>
    <row r="7">
      <c r="A7" s="22"/>
      <c r="B7" s="23"/>
      <c r="C7" s="18">
        <f t="shared" si="2"/>
        <v>45416</v>
      </c>
      <c r="D7" s="24">
        <f t="shared" si="1"/>
        <v>45416</v>
      </c>
      <c r="F7" s="25"/>
      <c r="Q7" s="29"/>
      <c r="R7" s="27">
        <v>3.0</v>
      </c>
    </row>
    <row r="8">
      <c r="A8" s="22"/>
      <c r="B8" s="30"/>
      <c r="C8" s="18">
        <f t="shared" si="2"/>
        <v>45417</v>
      </c>
      <c r="D8" s="24">
        <f t="shared" si="1"/>
        <v>45417</v>
      </c>
      <c r="E8" s="31"/>
      <c r="F8" s="31"/>
      <c r="G8" s="32"/>
      <c r="H8" s="32"/>
      <c r="I8" s="32"/>
      <c r="J8" s="31"/>
      <c r="M8" s="33"/>
      <c r="N8" s="21" t="s">
        <v>19</v>
      </c>
      <c r="Q8" s="29"/>
      <c r="R8" s="27">
        <v>4.0</v>
      </c>
    </row>
    <row r="9">
      <c r="A9" s="22"/>
      <c r="B9" s="34">
        <f>B2+1</f>
        <v>19</v>
      </c>
      <c r="C9" s="35">
        <f t="shared" si="2"/>
        <v>45418</v>
      </c>
      <c r="D9" s="36">
        <f t="shared" si="1"/>
        <v>45418</v>
      </c>
      <c r="E9" s="25"/>
      <c r="F9" s="20"/>
      <c r="G9" s="20"/>
      <c r="H9" s="20"/>
      <c r="I9" s="20"/>
      <c r="J9" s="20"/>
      <c r="M9" s="37"/>
      <c r="N9" s="21" t="s">
        <v>20</v>
      </c>
      <c r="Q9" s="29"/>
      <c r="R9" s="27">
        <v>5.0</v>
      </c>
    </row>
    <row r="10">
      <c r="A10" s="22"/>
      <c r="C10" s="18">
        <f t="shared" si="2"/>
        <v>45419</v>
      </c>
      <c r="D10" s="24">
        <f t="shared" si="1"/>
        <v>45419</v>
      </c>
      <c r="E10" s="25"/>
      <c r="Q10" s="29"/>
      <c r="R10" s="27">
        <v>6.0</v>
      </c>
    </row>
    <row r="11">
      <c r="A11" s="22"/>
      <c r="C11" s="18">
        <f t="shared" si="2"/>
        <v>45420</v>
      </c>
      <c r="D11" s="24">
        <f t="shared" si="1"/>
        <v>45420</v>
      </c>
      <c r="E11" s="25"/>
      <c r="G11" s="21" t="s">
        <v>168</v>
      </c>
      <c r="H11" s="98" t="s">
        <v>169</v>
      </c>
      <c r="Q11" s="29"/>
      <c r="R11" s="27">
        <v>7.0</v>
      </c>
    </row>
    <row r="12">
      <c r="A12" s="22"/>
      <c r="C12" s="44">
        <f t="shared" si="2"/>
        <v>45421</v>
      </c>
      <c r="D12" s="97">
        <f t="shared" si="1"/>
        <v>45421</v>
      </c>
      <c r="E12" s="25"/>
      <c r="G12" s="60" t="s">
        <v>170</v>
      </c>
      <c r="H12" s="98" t="s">
        <v>171</v>
      </c>
      <c r="K12" s="38"/>
    </row>
    <row r="13">
      <c r="A13" s="22"/>
      <c r="C13" s="18">
        <f t="shared" si="2"/>
        <v>45422</v>
      </c>
      <c r="D13" s="24">
        <f t="shared" si="1"/>
        <v>45422</v>
      </c>
      <c r="E13" s="21" t="s">
        <v>172</v>
      </c>
      <c r="H13" s="98" t="s">
        <v>171</v>
      </c>
    </row>
    <row r="14">
      <c r="A14" s="22"/>
      <c r="C14" s="18">
        <f t="shared" si="2"/>
        <v>45423</v>
      </c>
      <c r="D14" s="24">
        <f t="shared" si="1"/>
        <v>45423</v>
      </c>
      <c r="E14" s="25"/>
      <c r="H14" s="98" t="s">
        <v>171</v>
      </c>
    </row>
    <row r="15">
      <c r="A15" s="22"/>
      <c r="B15" s="39"/>
      <c r="C15" s="18">
        <f t="shared" si="2"/>
        <v>45424</v>
      </c>
      <c r="D15" s="24">
        <f t="shared" si="1"/>
        <v>45424</v>
      </c>
      <c r="E15" s="31"/>
      <c r="F15" s="31"/>
      <c r="G15" s="31"/>
      <c r="H15" s="99" t="s">
        <v>173</v>
      </c>
      <c r="I15" s="31"/>
      <c r="J15" s="31"/>
    </row>
    <row r="16">
      <c r="A16" s="22"/>
      <c r="B16" s="34">
        <f>B9+1</f>
        <v>20</v>
      </c>
      <c r="C16" s="35">
        <f t="shared" si="2"/>
        <v>45425</v>
      </c>
      <c r="D16" s="36">
        <f t="shared" si="1"/>
        <v>45425</v>
      </c>
      <c r="F16" s="80" t="s">
        <v>28</v>
      </c>
      <c r="H16" s="100" t="s">
        <v>174</v>
      </c>
      <c r="I16" s="20"/>
      <c r="J16" s="20"/>
      <c r="N16" s="40"/>
      <c r="O16" s="41"/>
      <c r="P16" s="41"/>
      <c r="R16" s="41"/>
    </row>
    <row r="17">
      <c r="A17" s="22"/>
      <c r="C17" s="18">
        <f t="shared" si="2"/>
        <v>45426</v>
      </c>
      <c r="D17" s="24">
        <f t="shared" si="1"/>
        <v>45426</v>
      </c>
      <c r="F17" s="25"/>
      <c r="H17" s="98" t="s">
        <v>174</v>
      </c>
      <c r="N17" s="40"/>
      <c r="O17" s="41"/>
      <c r="P17" s="41"/>
      <c r="R17" s="41"/>
    </row>
    <row r="18">
      <c r="A18" s="22"/>
      <c r="C18" s="18">
        <f t="shared" si="2"/>
        <v>45427</v>
      </c>
      <c r="D18" s="24">
        <f t="shared" si="1"/>
        <v>45427</v>
      </c>
      <c r="F18" s="25"/>
      <c r="H18" s="98" t="s">
        <v>174</v>
      </c>
      <c r="N18" s="40"/>
      <c r="O18" s="41"/>
      <c r="P18" s="41"/>
      <c r="R18" s="41"/>
    </row>
    <row r="19">
      <c r="A19" s="22"/>
      <c r="C19" s="18">
        <f t="shared" si="2"/>
        <v>45428</v>
      </c>
      <c r="D19" s="24">
        <f t="shared" si="1"/>
        <v>45428</v>
      </c>
      <c r="F19" s="21" t="s">
        <v>175</v>
      </c>
      <c r="G19" s="21"/>
      <c r="H19" s="98" t="s">
        <v>176</v>
      </c>
      <c r="N19" s="40"/>
      <c r="O19" s="41"/>
      <c r="P19" s="41"/>
      <c r="R19" s="41"/>
    </row>
    <row r="20">
      <c r="A20" s="22"/>
      <c r="C20" s="18">
        <f t="shared" si="2"/>
        <v>45429</v>
      </c>
      <c r="D20" s="24">
        <f t="shared" si="1"/>
        <v>45429</v>
      </c>
      <c r="F20" s="25"/>
      <c r="H20" s="98" t="s">
        <v>174</v>
      </c>
      <c r="N20" s="40"/>
      <c r="O20" s="41"/>
      <c r="P20" s="41"/>
      <c r="R20" s="41"/>
    </row>
    <row r="21">
      <c r="A21" s="22"/>
      <c r="C21" s="18">
        <f t="shared" si="2"/>
        <v>45430</v>
      </c>
      <c r="D21" s="24">
        <f t="shared" si="1"/>
        <v>45430</v>
      </c>
      <c r="F21" s="25"/>
      <c r="H21" s="98" t="s">
        <v>174</v>
      </c>
      <c r="N21" s="40"/>
      <c r="O21" s="41"/>
      <c r="P21" s="41"/>
      <c r="R21" s="41"/>
    </row>
    <row r="22">
      <c r="A22" s="22"/>
      <c r="B22" s="39"/>
      <c r="C22" s="18">
        <f t="shared" si="2"/>
        <v>45431</v>
      </c>
      <c r="D22" s="24">
        <f t="shared" si="1"/>
        <v>45431</v>
      </c>
      <c r="E22" s="31"/>
      <c r="F22" s="31"/>
      <c r="G22" s="31"/>
      <c r="H22" s="101" t="s">
        <v>174</v>
      </c>
      <c r="I22" s="32"/>
      <c r="J22" s="31"/>
      <c r="N22" s="40"/>
      <c r="O22" s="41"/>
      <c r="P22" s="41"/>
      <c r="R22" s="41"/>
    </row>
    <row r="23">
      <c r="A23" s="22"/>
      <c r="B23" s="34">
        <f>B16+1</f>
        <v>21</v>
      </c>
      <c r="C23" s="35">
        <f t="shared" si="2"/>
        <v>45432</v>
      </c>
      <c r="D23" s="36">
        <f t="shared" si="1"/>
        <v>45432</v>
      </c>
      <c r="E23" s="25"/>
      <c r="F23" s="20"/>
      <c r="G23" s="20"/>
      <c r="H23" s="20"/>
      <c r="J23" s="20"/>
      <c r="N23" s="40"/>
      <c r="O23" s="41"/>
      <c r="P23" s="41"/>
      <c r="R23" s="41"/>
    </row>
    <row r="24">
      <c r="A24" s="22"/>
      <c r="C24" s="18">
        <f t="shared" si="2"/>
        <v>45433</v>
      </c>
      <c r="D24" s="24">
        <f t="shared" si="1"/>
        <v>45433</v>
      </c>
      <c r="E24" s="21" t="s">
        <v>26</v>
      </c>
      <c r="G24" s="21" t="s">
        <v>177</v>
      </c>
      <c r="H24" s="98" t="s">
        <v>174</v>
      </c>
      <c r="N24" s="40"/>
      <c r="O24" s="41"/>
      <c r="P24" s="41"/>
      <c r="R24" s="41"/>
    </row>
    <row r="25">
      <c r="A25" s="22"/>
      <c r="C25" s="18">
        <f t="shared" si="2"/>
        <v>45434</v>
      </c>
      <c r="D25" s="24">
        <f t="shared" si="1"/>
        <v>45434</v>
      </c>
      <c r="E25" s="21" t="s">
        <v>26</v>
      </c>
      <c r="H25" s="98" t="s">
        <v>174</v>
      </c>
      <c r="N25" s="40"/>
      <c r="O25" s="41"/>
      <c r="P25" s="41"/>
      <c r="R25" s="41"/>
    </row>
    <row r="26">
      <c r="A26" s="22"/>
      <c r="C26" s="18">
        <f t="shared" si="2"/>
        <v>45435</v>
      </c>
      <c r="D26" s="24">
        <f t="shared" si="1"/>
        <v>45435</v>
      </c>
      <c r="E26" s="25"/>
      <c r="H26" s="98" t="s">
        <v>174</v>
      </c>
      <c r="N26" s="40"/>
      <c r="O26" s="41"/>
      <c r="P26" s="41"/>
      <c r="R26" s="41"/>
    </row>
    <row r="27">
      <c r="A27" s="22"/>
      <c r="C27" s="18">
        <f t="shared" si="2"/>
        <v>45436</v>
      </c>
      <c r="D27" s="24">
        <f t="shared" si="1"/>
        <v>45436</v>
      </c>
      <c r="E27" s="25"/>
      <c r="H27" s="98" t="s">
        <v>174</v>
      </c>
      <c r="N27" s="40"/>
      <c r="O27" s="41"/>
      <c r="P27" s="41"/>
      <c r="R27" s="41"/>
    </row>
    <row r="28">
      <c r="A28" s="22"/>
      <c r="C28" s="18">
        <f t="shared" si="2"/>
        <v>45437</v>
      </c>
      <c r="D28" s="24">
        <f t="shared" si="1"/>
        <v>45437</v>
      </c>
      <c r="E28" s="25"/>
      <c r="H28" s="56"/>
      <c r="N28" s="40"/>
      <c r="O28" s="41"/>
      <c r="P28" s="41"/>
      <c r="R28" s="41"/>
    </row>
    <row r="29">
      <c r="A29" s="22"/>
      <c r="B29" s="39"/>
      <c r="C29" s="18">
        <f t="shared" si="2"/>
        <v>45438</v>
      </c>
      <c r="D29" s="24">
        <f t="shared" si="1"/>
        <v>45438</v>
      </c>
      <c r="E29" s="87"/>
      <c r="F29" s="31"/>
      <c r="G29" s="32" t="s">
        <v>109</v>
      </c>
      <c r="H29" s="102"/>
      <c r="I29" s="32"/>
      <c r="J29" s="32" t="s">
        <v>178</v>
      </c>
      <c r="N29" s="40"/>
      <c r="O29" s="41"/>
      <c r="P29" s="41"/>
      <c r="R29" s="41"/>
    </row>
    <row r="30">
      <c r="A30" s="22"/>
      <c r="B30" s="34">
        <f>B23+1</f>
        <v>22</v>
      </c>
      <c r="C30" s="35">
        <f t="shared" si="2"/>
        <v>45439</v>
      </c>
      <c r="D30" s="36">
        <f t="shared" si="1"/>
        <v>45439</v>
      </c>
      <c r="F30" s="21" t="s">
        <v>179</v>
      </c>
      <c r="G30" s="20"/>
      <c r="H30" s="56"/>
      <c r="J30" s="20"/>
      <c r="N30" s="40"/>
      <c r="O30" s="41"/>
      <c r="P30" s="41"/>
      <c r="R30" s="41"/>
    </row>
    <row r="31">
      <c r="A31" s="22"/>
      <c r="C31" s="18">
        <f t="shared" si="2"/>
        <v>45440</v>
      </c>
      <c r="D31" s="24">
        <f t="shared" si="1"/>
        <v>45440</v>
      </c>
      <c r="F31" s="25"/>
      <c r="N31" s="40"/>
      <c r="O31" s="41"/>
      <c r="P31" s="41"/>
      <c r="R31" s="41"/>
    </row>
    <row r="32">
      <c r="A32" s="22"/>
      <c r="C32" s="18">
        <f t="shared" si="2"/>
        <v>45441</v>
      </c>
      <c r="D32" s="24">
        <f t="shared" si="1"/>
        <v>45441</v>
      </c>
      <c r="F32" s="25"/>
      <c r="N32" s="40"/>
      <c r="O32" s="41"/>
      <c r="P32" s="41"/>
      <c r="R32" s="41"/>
    </row>
    <row r="33">
      <c r="A33" s="22"/>
      <c r="C33" s="18">
        <f t="shared" si="2"/>
        <v>45442</v>
      </c>
      <c r="D33" s="24">
        <f t="shared" si="1"/>
        <v>45442</v>
      </c>
      <c r="F33" s="25"/>
      <c r="N33" s="40"/>
      <c r="O33" s="41"/>
      <c r="P33" s="41"/>
      <c r="R33" s="41"/>
    </row>
    <row r="34">
      <c r="A34" s="22"/>
      <c r="C34" s="18">
        <f t="shared" si="2"/>
        <v>45443</v>
      </c>
      <c r="D34" s="24">
        <f t="shared" si="1"/>
        <v>45443</v>
      </c>
      <c r="F34" s="21" t="s">
        <v>179</v>
      </c>
      <c r="N34" s="40"/>
      <c r="O34" s="41"/>
      <c r="P34" s="41"/>
      <c r="R34" s="41"/>
    </row>
    <row r="35">
      <c r="A35" s="22"/>
      <c r="C35" s="18">
        <f t="shared" si="2"/>
        <v>45444</v>
      </c>
      <c r="D35" s="24">
        <f t="shared" si="1"/>
        <v>45444</v>
      </c>
      <c r="N35" s="40"/>
      <c r="O35" s="41"/>
      <c r="P35" s="41"/>
      <c r="R35" s="41"/>
    </row>
    <row r="36">
      <c r="A36" s="22"/>
      <c r="B36" s="39"/>
      <c r="C36" s="18">
        <f t="shared" si="2"/>
        <v>45445</v>
      </c>
      <c r="D36" s="24">
        <f t="shared" si="1"/>
        <v>45445</v>
      </c>
      <c r="E36" s="31"/>
      <c r="F36" s="31"/>
      <c r="N36" s="40"/>
      <c r="O36" s="41"/>
      <c r="P36" s="41"/>
      <c r="R36" s="41"/>
    </row>
    <row r="37">
      <c r="A37" s="22"/>
      <c r="B37" s="34">
        <f>B30+1</f>
        <v>23</v>
      </c>
      <c r="C37" s="35">
        <f t="shared" si="2"/>
        <v>45446</v>
      </c>
      <c r="D37" s="36">
        <f t="shared" si="1"/>
        <v>45446</v>
      </c>
      <c r="F37" s="20"/>
      <c r="G37" s="20"/>
      <c r="H37" s="20"/>
      <c r="I37" s="20"/>
      <c r="J37" s="20"/>
    </row>
    <row r="38">
      <c r="A38" s="22"/>
      <c r="C38" s="18">
        <f t="shared" si="2"/>
        <v>45447</v>
      </c>
      <c r="D38" s="24">
        <f t="shared" si="1"/>
        <v>45447</v>
      </c>
    </row>
    <row r="39">
      <c r="A39" s="22"/>
      <c r="C39" s="18">
        <f t="shared" si="2"/>
        <v>45448</v>
      </c>
      <c r="D39" s="24">
        <f t="shared" si="1"/>
        <v>45448</v>
      </c>
    </row>
    <row r="40">
      <c r="A40" s="22"/>
      <c r="C40" s="18">
        <f t="shared" si="2"/>
        <v>45449</v>
      </c>
      <c r="D40" s="24">
        <f t="shared" si="1"/>
        <v>45449</v>
      </c>
    </row>
    <row r="41">
      <c r="A41" s="22"/>
      <c r="C41" s="18">
        <f t="shared" si="2"/>
        <v>45450</v>
      </c>
      <c r="D41" s="24">
        <f t="shared" si="1"/>
        <v>45450</v>
      </c>
    </row>
    <row r="42">
      <c r="A42" s="22"/>
      <c r="C42" s="18">
        <f t="shared" si="2"/>
        <v>45451</v>
      </c>
      <c r="D42" s="24">
        <f t="shared" si="1"/>
        <v>45451</v>
      </c>
    </row>
    <row r="43">
      <c r="A43" s="22"/>
      <c r="B43" s="39"/>
      <c r="C43" s="42">
        <f t="shared" si="2"/>
        <v>45452</v>
      </c>
      <c r="D43" s="43">
        <f t="shared" si="1"/>
        <v>45452</v>
      </c>
      <c r="E43" s="31"/>
      <c r="F43" s="31"/>
      <c r="G43" s="31"/>
      <c r="H43" s="31"/>
      <c r="I43" s="31"/>
      <c r="J43" s="31"/>
    </row>
  </sheetData>
  <autoFilter ref="$C$1:$C$1003">
    <sortState ref="C1:C1003">
      <sortCondition descending="1" sortBy="cellColor" ref="C1:C1003" dxfId="1"/>
    </sortState>
  </autoFilter>
  <mergeCells count="7">
    <mergeCell ref="A2:A43"/>
    <mergeCell ref="B2:B8"/>
    <mergeCell ref="B9:B15"/>
    <mergeCell ref="B16:B22"/>
    <mergeCell ref="B23:B29"/>
    <mergeCell ref="B30:B36"/>
    <mergeCell ref="B37:B43"/>
  </mergeCells>
  <conditionalFormatting sqref="C2:C43">
    <cfRule type="timePeriod" dxfId="2" priority="3" timePeriod="today"/>
  </conditionalFormatting>
  <conditionalFormatting sqref="E2:E28 F29:F30 E30:E43 F34">
    <cfRule type="expression" dxfId="3" priority="4">
      <formula>AND(MONTH($A$1)=MONTH(C2),OR(AND(MOD(WEEKNUM(C2,2),2),ISERROR(MATCH(WEEKDAY(C2,2),$Q$5:$Q$11,0))),AND(MOD(WEEKNUM(C2,2),2)=0,ISERROR(MATCH(WEEKDAY(C2,2),$R$5:$R$11,0)))))</formula>
    </cfRule>
  </conditionalFormatting>
  <conditionalFormatting sqref="F2:F43">
    <cfRule type="expression" dxfId="3" priority="5">
      <formula>AND(MONTH($A$1)=MONTH(C2),OR(AND(MOD(WEEKNUM(C2,2),2),NOT(ISERROR(MATCH(WEEKDAY(C2,2),$Q$5:$Q$11,0)))),AND(MOD(WEEKNUM(C2,2),2)=0,NOT(ISERROR(MATCH(WEEKDAY(C2,2),$R$5:$R$11,0))))))</formula>
    </cfRule>
  </conditionalFormatting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5"/>
    <col customWidth="1" min="3" max="3" width="2.88"/>
    <col customWidth="1" min="4" max="4" width="7.5"/>
    <col customWidth="1" min="7" max="7" width="27.38"/>
    <col customWidth="1" min="8" max="8" width="14.13"/>
    <col customWidth="1" min="9" max="9" width="22.63"/>
    <col customWidth="1" min="10" max="10" width="48.0"/>
    <col customWidth="1" min="14" max="14" width="23.63"/>
    <col customWidth="1" min="16" max="16" width="14.25"/>
  </cols>
  <sheetData>
    <row r="1">
      <c r="A1" s="11">
        <v>45444.0</v>
      </c>
      <c r="B1" s="12" t="s">
        <v>13</v>
      </c>
      <c r="C1" s="13"/>
      <c r="D1" s="14"/>
      <c r="E1" s="15" t="s">
        <v>5</v>
      </c>
      <c r="F1" s="15" t="s">
        <v>14</v>
      </c>
      <c r="G1" s="12"/>
      <c r="H1" s="12"/>
      <c r="I1" s="12" t="s">
        <v>15</v>
      </c>
      <c r="J1" s="12" t="s">
        <v>16</v>
      </c>
    </row>
    <row r="2">
      <c r="A2" s="16">
        <f>A1</f>
        <v>45444</v>
      </c>
      <c r="B2" s="17">
        <f>WEEKNUM(A1)</f>
        <v>22</v>
      </c>
      <c r="C2" s="18">
        <f>A1-WEEKDAY(A1,2)+1</f>
        <v>45439</v>
      </c>
      <c r="D2" s="19">
        <f t="shared" ref="D2:D43" si="1">C2</f>
        <v>45439</v>
      </c>
      <c r="F2" s="20"/>
      <c r="N2" s="21"/>
    </row>
    <row r="3">
      <c r="A3" s="22"/>
      <c r="B3" s="23"/>
      <c r="C3" s="18">
        <f t="shared" ref="C3:C43" si="2">C2+1</f>
        <v>45440</v>
      </c>
      <c r="D3" s="24">
        <f t="shared" si="1"/>
        <v>45440</v>
      </c>
      <c r="N3" s="21"/>
    </row>
    <row r="4">
      <c r="A4" s="22"/>
      <c r="B4" s="23"/>
      <c r="C4" s="18">
        <f t="shared" si="2"/>
        <v>45441</v>
      </c>
      <c r="D4" s="24">
        <f t="shared" si="1"/>
        <v>45441</v>
      </c>
      <c r="N4" s="21"/>
    </row>
    <row r="5">
      <c r="A5" s="22"/>
      <c r="B5" s="23"/>
      <c r="C5" s="18">
        <f t="shared" si="2"/>
        <v>45442</v>
      </c>
      <c r="D5" s="24">
        <f t="shared" si="1"/>
        <v>45442</v>
      </c>
      <c r="M5" s="26"/>
      <c r="N5" s="21" t="s">
        <v>17</v>
      </c>
      <c r="Q5" s="27"/>
      <c r="R5" s="27">
        <v>1.0</v>
      </c>
    </row>
    <row r="6">
      <c r="A6" s="22"/>
      <c r="B6" s="23"/>
      <c r="C6" s="18">
        <f t="shared" si="2"/>
        <v>45443</v>
      </c>
      <c r="D6" s="24">
        <f t="shared" si="1"/>
        <v>45443</v>
      </c>
      <c r="M6" s="28"/>
      <c r="N6" s="21" t="s">
        <v>18</v>
      </c>
      <c r="Q6" s="27"/>
      <c r="R6" s="27">
        <v>2.0</v>
      </c>
    </row>
    <row r="7">
      <c r="A7" s="22"/>
      <c r="B7" s="23"/>
      <c r="C7" s="18">
        <f t="shared" si="2"/>
        <v>45444</v>
      </c>
      <c r="D7" s="24">
        <f t="shared" si="1"/>
        <v>45444</v>
      </c>
      <c r="F7" s="25"/>
      <c r="Q7" s="29"/>
      <c r="R7" s="27">
        <v>3.0</v>
      </c>
    </row>
    <row r="8">
      <c r="A8" s="22"/>
      <c r="B8" s="30"/>
      <c r="C8" s="18">
        <f t="shared" si="2"/>
        <v>45445</v>
      </c>
      <c r="D8" s="24">
        <f t="shared" si="1"/>
        <v>45445</v>
      </c>
      <c r="E8" s="31"/>
      <c r="F8" s="31"/>
      <c r="G8" s="32"/>
      <c r="H8" s="32"/>
      <c r="I8" s="32"/>
      <c r="J8" s="31"/>
      <c r="M8" s="33"/>
      <c r="N8" s="21" t="s">
        <v>19</v>
      </c>
      <c r="Q8" s="29"/>
      <c r="R8" s="27">
        <v>4.0</v>
      </c>
    </row>
    <row r="9">
      <c r="A9" s="22"/>
      <c r="B9" s="34">
        <f>B2+1</f>
        <v>23</v>
      </c>
      <c r="C9" s="35">
        <f t="shared" si="2"/>
        <v>45446</v>
      </c>
      <c r="D9" s="36">
        <f t="shared" si="1"/>
        <v>45446</v>
      </c>
      <c r="E9" s="25"/>
      <c r="F9" s="20"/>
      <c r="G9" s="20"/>
      <c r="H9" s="20"/>
      <c r="I9" s="20"/>
      <c r="J9" s="20"/>
      <c r="M9" s="37"/>
      <c r="N9" s="21" t="s">
        <v>20</v>
      </c>
      <c r="Q9" s="29"/>
      <c r="R9" s="27">
        <v>5.0</v>
      </c>
    </row>
    <row r="10">
      <c r="A10" s="22"/>
      <c r="C10" s="18">
        <f t="shared" si="2"/>
        <v>45447</v>
      </c>
      <c r="D10" s="24">
        <f t="shared" si="1"/>
        <v>45447</v>
      </c>
      <c r="E10" s="25"/>
      <c r="Q10" s="29"/>
      <c r="R10" s="27">
        <v>6.0</v>
      </c>
    </row>
    <row r="11">
      <c r="A11" s="22"/>
      <c r="C11" s="18">
        <f t="shared" si="2"/>
        <v>45448</v>
      </c>
      <c r="D11" s="24">
        <f t="shared" si="1"/>
        <v>45448</v>
      </c>
      <c r="E11" s="25"/>
      <c r="Q11" s="29"/>
      <c r="R11" s="27">
        <v>7.0</v>
      </c>
    </row>
    <row r="12">
      <c r="A12" s="22"/>
      <c r="C12" s="44">
        <f t="shared" si="2"/>
        <v>45449</v>
      </c>
      <c r="D12" s="97">
        <f t="shared" si="1"/>
        <v>45449</v>
      </c>
      <c r="E12" s="28"/>
      <c r="F12" s="26"/>
      <c r="G12" s="60" t="s">
        <v>180</v>
      </c>
      <c r="H12" s="67"/>
      <c r="K12" s="38"/>
    </row>
    <row r="13">
      <c r="A13" s="22"/>
      <c r="C13" s="18">
        <f t="shared" si="2"/>
        <v>45450</v>
      </c>
      <c r="D13" s="24">
        <f t="shared" si="1"/>
        <v>45450</v>
      </c>
      <c r="E13" s="28"/>
      <c r="F13" s="47" t="s">
        <v>181</v>
      </c>
      <c r="H13" s="21" t="s">
        <v>181</v>
      </c>
      <c r="J13" s="46" t="s">
        <v>182</v>
      </c>
    </row>
    <row r="14">
      <c r="A14" s="22"/>
      <c r="C14" s="18">
        <f t="shared" si="2"/>
        <v>45451</v>
      </c>
      <c r="D14" s="24">
        <f t="shared" si="1"/>
        <v>45451</v>
      </c>
      <c r="E14" s="28"/>
      <c r="F14" s="26"/>
      <c r="J14" s="46" t="s">
        <v>182</v>
      </c>
    </row>
    <row r="15">
      <c r="A15" s="22"/>
      <c r="B15" s="39"/>
      <c r="C15" s="18">
        <f t="shared" si="2"/>
        <v>45452</v>
      </c>
      <c r="D15" s="24">
        <f t="shared" si="1"/>
        <v>45452</v>
      </c>
      <c r="E15" s="87"/>
      <c r="F15" s="58"/>
      <c r="G15" s="31"/>
      <c r="H15" s="31"/>
      <c r="I15" s="31"/>
      <c r="J15" s="57" t="s">
        <v>182</v>
      </c>
    </row>
    <row r="16">
      <c r="A16" s="22"/>
      <c r="B16" s="34">
        <f>B9+1</f>
        <v>24</v>
      </c>
      <c r="C16" s="35">
        <f t="shared" si="2"/>
        <v>45453</v>
      </c>
      <c r="D16" s="36">
        <f t="shared" si="1"/>
        <v>45453</v>
      </c>
      <c r="F16" s="20"/>
      <c r="I16" s="20"/>
      <c r="J16" s="20"/>
      <c r="N16" s="40"/>
      <c r="O16" s="41"/>
      <c r="P16" s="41"/>
      <c r="R16" s="41"/>
    </row>
    <row r="17">
      <c r="A17" s="22"/>
      <c r="C17" s="18">
        <f t="shared" si="2"/>
        <v>45454</v>
      </c>
      <c r="D17" s="24">
        <f t="shared" si="1"/>
        <v>45454</v>
      </c>
      <c r="F17" s="25"/>
      <c r="N17" s="40"/>
      <c r="O17" s="41"/>
      <c r="P17" s="41"/>
      <c r="R17" s="41"/>
    </row>
    <row r="18">
      <c r="A18" s="22"/>
      <c r="C18" s="18">
        <f t="shared" si="2"/>
        <v>45455</v>
      </c>
      <c r="D18" s="24">
        <f t="shared" si="1"/>
        <v>45455</v>
      </c>
      <c r="F18" s="25"/>
      <c r="G18" s="21" t="s">
        <v>183</v>
      </c>
      <c r="N18" s="40"/>
      <c r="O18" s="41"/>
      <c r="P18" s="41"/>
      <c r="R18" s="41"/>
    </row>
    <row r="19">
      <c r="A19" s="22"/>
      <c r="C19" s="18">
        <f t="shared" si="2"/>
        <v>45456</v>
      </c>
      <c r="D19" s="24">
        <f t="shared" si="1"/>
        <v>45456</v>
      </c>
      <c r="F19" s="25"/>
      <c r="G19" s="21"/>
      <c r="N19" s="40"/>
      <c r="O19" s="41"/>
      <c r="P19" s="41"/>
      <c r="R19" s="41"/>
    </row>
    <row r="20">
      <c r="A20" s="22"/>
      <c r="C20" s="18">
        <f t="shared" si="2"/>
        <v>45457</v>
      </c>
      <c r="D20" s="24">
        <f t="shared" si="1"/>
        <v>45457</v>
      </c>
      <c r="F20" s="25"/>
      <c r="N20" s="40"/>
      <c r="O20" s="41"/>
      <c r="P20" s="41"/>
      <c r="R20" s="41"/>
    </row>
    <row r="21">
      <c r="A21" s="22"/>
      <c r="C21" s="18">
        <f t="shared" si="2"/>
        <v>45458</v>
      </c>
      <c r="D21" s="24">
        <f t="shared" si="1"/>
        <v>45458</v>
      </c>
      <c r="E21" s="26"/>
      <c r="F21" s="28"/>
      <c r="G21" s="21" t="s">
        <v>184</v>
      </c>
      <c r="H21" s="98" t="s">
        <v>185</v>
      </c>
      <c r="I21" s="21" t="s">
        <v>186</v>
      </c>
      <c r="J21" s="21" t="s">
        <v>187</v>
      </c>
      <c r="N21" s="40"/>
      <c r="O21" s="41"/>
      <c r="P21" s="41"/>
      <c r="R21" s="41"/>
    </row>
    <row r="22">
      <c r="A22" s="22"/>
      <c r="B22" s="39"/>
      <c r="C22" s="18">
        <f t="shared" si="2"/>
        <v>45459</v>
      </c>
      <c r="D22" s="24">
        <f t="shared" si="1"/>
        <v>45459</v>
      </c>
      <c r="E22" s="103"/>
      <c r="F22" s="28"/>
      <c r="G22" s="31"/>
      <c r="H22" s="99" t="s">
        <v>188</v>
      </c>
      <c r="I22" s="32" t="s">
        <v>22</v>
      </c>
      <c r="J22" s="31"/>
      <c r="N22" s="40"/>
      <c r="O22" s="41"/>
      <c r="P22" s="41"/>
      <c r="R22" s="41"/>
    </row>
    <row r="23">
      <c r="A23" s="22"/>
      <c r="B23" s="34">
        <f>B16+1</f>
        <v>25</v>
      </c>
      <c r="C23" s="35">
        <f t="shared" si="2"/>
        <v>45460</v>
      </c>
      <c r="D23" s="36">
        <f t="shared" si="1"/>
        <v>45460</v>
      </c>
      <c r="E23" s="21" t="s">
        <v>59</v>
      </c>
      <c r="F23" s="20"/>
      <c r="G23" s="20"/>
      <c r="H23" s="98" t="s">
        <v>189</v>
      </c>
      <c r="I23" s="21" t="s">
        <v>190</v>
      </c>
      <c r="J23" s="20"/>
      <c r="N23" s="40"/>
      <c r="O23" s="41"/>
      <c r="P23" s="41"/>
      <c r="R23" s="41"/>
    </row>
    <row r="24">
      <c r="A24" s="22"/>
      <c r="C24" s="18">
        <f t="shared" si="2"/>
        <v>45461</v>
      </c>
      <c r="D24" s="24">
        <f t="shared" si="1"/>
        <v>45461</v>
      </c>
      <c r="E24" s="21" t="s">
        <v>59</v>
      </c>
      <c r="H24" s="98" t="s">
        <v>189</v>
      </c>
      <c r="I24" s="21" t="s">
        <v>190</v>
      </c>
      <c r="N24" s="40"/>
      <c r="O24" s="41"/>
      <c r="P24" s="41"/>
      <c r="R24" s="41"/>
    </row>
    <row r="25">
      <c r="A25" s="22"/>
      <c r="C25" s="18">
        <f t="shared" si="2"/>
        <v>45462</v>
      </c>
      <c r="D25" s="24">
        <f t="shared" si="1"/>
        <v>45462</v>
      </c>
      <c r="E25" s="21" t="s">
        <v>59</v>
      </c>
      <c r="H25" s="98" t="s">
        <v>191</v>
      </c>
      <c r="I25" s="21" t="s">
        <v>190</v>
      </c>
      <c r="N25" s="40"/>
      <c r="O25" s="41"/>
      <c r="P25" s="41"/>
      <c r="R25" s="41"/>
    </row>
    <row r="26">
      <c r="A26" s="22"/>
      <c r="C26" s="18">
        <f t="shared" si="2"/>
        <v>45463</v>
      </c>
      <c r="D26" s="24">
        <f t="shared" si="1"/>
        <v>45463</v>
      </c>
      <c r="E26" s="21" t="s">
        <v>59</v>
      </c>
      <c r="H26" s="98" t="s">
        <v>192</v>
      </c>
      <c r="I26" s="21" t="s">
        <v>190</v>
      </c>
      <c r="N26" s="40"/>
      <c r="O26" s="41"/>
      <c r="P26" s="41"/>
      <c r="R26" s="41"/>
    </row>
    <row r="27">
      <c r="A27" s="22"/>
      <c r="C27" s="18">
        <f t="shared" si="2"/>
        <v>45464</v>
      </c>
      <c r="D27" s="24">
        <f t="shared" si="1"/>
        <v>45464</v>
      </c>
      <c r="E27" s="21" t="s">
        <v>59</v>
      </c>
      <c r="H27" s="98" t="s">
        <v>192</v>
      </c>
      <c r="I27" s="21" t="s">
        <v>190</v>
      </c>
      <c r="N27" s="40"/>
      <c r="O27" s="41"/>
      <c r="P27" s="41"/>
      <c r="R27" s="41"/>
    </row>
    <row r="28">
      <c r="A28" s="22"/>
      <c r="C28" s="18">
        <f t="shared" si="2"/>
        <v>45465</v>
      </c>
      <c r="D28" s="24">
        <f t="shared" si="1"/>
        <v>45465</v>
      </c>
      <c r="E28" s="21" t="s">
        <v>59</v>
      </c>
      <c r="G28" s="21" t="s">
        <v>112</v>
      </c>
      <c r="H28" s="98" t="s">
        <v>192</v>
      </c>
      <c r="I28" s="21" t="s">
        <v>22</v>
      </c>
      <c r="N28" s="40"/>
      <c r="O28" s="41"/>
      <c r="P28" s="41"/>
      <c r="R28" s="41"/>
    </row>
    <row r="29">
      <c r="A29" s="22"/>
      <c r="B29" s="39"/>
      <c r="C29" s="18">
        <f t="shared" si="2"/>
        <v>45466</v>
      </c>
      <c r="D29" s="24">
        <f t="shared" si="1"/>
        <v>45466</v>
      </c>
      <c r="E29" s="32" t="s">
        <v>59</v>
      </c>
      <c r="F29" s="31"/>
      <c r="G29" s="32" t="s">
        <v>193</v>
      </c>
      <c r="H29" s="99" t="s">
        <v>192</v>
      </c>
      <c r="I29" s="32" t="s">
        <v>22</v>
      </c>
      <c r="J29" s="31"/>
      <c r="N29" s="40"/>
      <c r="O29" s="41"/>
      <c r="P29" s="41"/>
      <c r="R29" s="41"/>
    </row>
    <row r="30">
      <c r="A30" s="22"/>
      <c r="B30" s="34">
        <f>B23+1</f>
        <v>26</v>
      </c>
      <c r="C30" s="35">
        <f t="shared" si="2"/>
        <v>45467</v>
      </c>
      <c r="D30" s="36">
        <f t="shared" si="1"/>
        <v>45467</v>
      </c>
      <c r="E30" s="26"/>
      <c r="F30" s="28"/>
      <c r="G30" s="20"/>
      <c r="H30" s="98" t="s">
        <v>192</v>
      </c>
      <c r="I30" s="21" t="s">
        <v>190</v>
      </c>
      <c r="J30" s="80" t="s">
        <v>194</v>
      </c>
      <c r="N30" s="40"/>
      <c r="O30" s="41"/>
      <c r="P30" s="41"/>
      <c r="R30" s="41"/>
    </row>
    <row r="31">
      <c r="A31" s="22"/>
      <c r="C31" s="18">
        <f t="shared" si="2"/>
        <v>45468</v>
      </c>
      <c r="D31" s="24">
        <f t="shared" si="1"/>
        <v>45468</v>
      </c>
      <c r="F31" s="25"/>
      <c r="H31" s="21" t="s">
        <v>195</v>
      </c>
      <c r="N31" s="40"/>
      <c r="O31" s="41"/>
      <c r="P31" s="41"/>
      <c r="R31" s="41"/>
    </row>
    <row r="32">
      <c r="A32" s="22"/>
      <c r="C32" s="18">
        <f t="shared" si="2"/>
        <v>45469</v>
      </c>
      <c r="D32" s="24">
        <f t="shared" si="1"/>
        <v>45469</v>
      </c>
      <c r="F32" s="25"/>
      <c r="H32" s="21" t="s">
        <v>192</v>
      </c>
      <c r="N32" s="40"/>
      <c r="O32" s="41"/>
      <c r="P32" s="41"/>
      <c r="R32" s="41"/>
    </row>
    <row r="33">
      <c r="A33" s="22"/>
      <c r="C33" s="18">
        <f t="shared" si="2"/>
        <v>45470</v>
      </c>
      <c r="D33" s="24">
        <f t="shared" si="1"/>
        <v>45470</v>
      </c>
      <c r="F33" s="25"/>
      <c r="N33" s="40"/>
      <c r="O33" s="41"/>
      <c r="P33" s="41"/>
      <c r="R33" s="41"/>
    </row>
    <row r="34">
      <c r="A34" s="22"/>
      <c r="C34" s="18">
        <f t="shared" si="2"/>
        <v>45471</v>
      </c>
      <c r="D34" s="24">
        <f t="shared" si="1"/>
        <v>45471</v>
      </c>
      <c r="F34" s="25"/>
      <c r="G34" s="51" t="s">
        <v>196</v>
      </c>
      <c r="N34" s="40"/>
      <c r="O34" s="41"/>
      <c r="P34" s="41"/>
      <c r="R34" s="41"/>
    </row>
    <row r="35">
      <c r="A35" s="22"/>
      <c r="C35" s="18">
        <f t="shared" si="2"/>
        <v>45472</v>
      </c>
      <c r="D35" s="24">
        <f t="shared" si="1"/>
        <v>45472</v>
      </c>
      <c r="F35" s="25"/>
      <c r="N35" s="40"/>
      <c r="O35" s="41"/>
      <c r="P35" s="41"/>
      <c r="R35" s="41"/>
    </row>
    <row r="36">
      <c r="A36" s="22"/>
      <c r="B36" s="39"/>
      <c r="C36" s="18">
        <f t="shared" si="2"/>
        <v>45473</v>
      </c>
      <c r="D36" s="24">
        <f t="shared" si="1"/>
        <v>45473</v>
      </c>
      <c r="E36" s="31"/>
      <c r="F36" s="31"/>
      <c r="N36" s="40"/>
      <c r="O36" s="41"/>
      <c r="P36" s="41"/>
      <c r="R36" s="41"/>
    </row>
    <row r="37">
      <c r="A37" s="22"/>
      <c r="B37" s="34">
        <f>B30+1</f>
        <v>27</v>
      </c>
      <c r="C37" s="35">
        <f t="shared" si="2"/>
        <v>45474</v>
      </c>
      <c r="D37" s="36">
        <f t="shared" si="1"/>
        <v>45474</v>
      </c>
      <c r="F37" s="20"/>
      <c r="G37" s="20"/>
      <c r="H37" s="20"/>
      <c r="I37" s="20"/>
      <c r="J37" s="20"/>
    </row>
    <row r="38">
      <c r="A38" s="22"/>
      <c r="C38" s="18">
        <f t="shared" si="2"/>
        <v>45475</v>
      </c>
      <c r="D38" s="24">
        <f t="shared" si="1"/>
        <v>45475</v>
      </c>
    </row>
    <row r="39">
      <c r="A39" s="22"/>
      <c r="C39" s="18">
        <f t="shared" si="2"/>
        <v>45476</v>
      </c>
      <c r="D39" s="24">
        <f t="shared" si="1"/>
        <v>45476</v>
      </c>
    </row>
    <row r="40">
      <c r="A40" s="22"/>
      <c r="C40" s="18">
        <f t="shared" si="2"/>
        <v>45477</v>
      </c>
      <c r="D40" s="24">
        <f t="shared" si="1"/>
        <v>45477</v>
      </c>
    </row>
    <row r="41">
      <c r="A41" s="22"/>
      <c r="C41" s="18">
        <f t="shared" si="2"/>
        <v>45478</v>
      </c>
      <c r="D41" s="24">
        <f t="shared" si="1"/>
        <v>45478</v>
      </c>
    </row>
    <row r="42">
      <c r="A42" s="22"/>
      <c r="C42" s="18">
        <f t="shared" si="2"/>
        <v>45479</v>
      </c>
      <c r="D42" s="24">
        <f t="shared" si="1"/>
        <v>45479</v>
      </c>
    </row>
    <row r="43">
      <c r="A43" s="22"/>
      <c r="B43" s="39"/>
      <c r="C43" s="42">
        <f t="shared" si="2"/>
        <v>45480</v>
      </c>
      <c r="D43" s="43">
        <f t="shared" si="1"/>
        <v>45480</v>
      </c>
      <c r="E43" s="31"/>
      <c r="F43" s="31"/>
      <c r="G43" s="31"/>
      <c r="H43" s="31"/>
      <c r="I43" s="31"/>
      <c r="J43" s="31"/>
    </row>
  </sheetData>
  <autoFilter ref="$C$1:$C$1003">
    <sortState ref="C1:C1003">
      <sortCondition descending="1" sortBy="cellColor" ref="C1:C1003" dxfId="1"/>
    </sortState>
  </autoFilter>
  <mergeCells count="7">
    <mergeCell ref="A2:A43"/>
    <mergeCell ref="B2:B8"/>
    <mergeCell ref="B9:B15"/>
    <mergeCell ref="B16:B22"/>
    <mergeCell ref="B23:B29"/>
    <mergeCell ref="B30:B36"/>
    <mergeCell ref="B37:B43"/>
  </mergeCells>
  <conditionalFormatting sqref="C2:C43">
    <cfRule type="timePeriod" dxfId="2" priority="3" timePeriod="today"/>
  </conditionalFormatting>
  <conditionalFormatting sqref="E2:E11 E16:E43">
    <cfRule type="expression" dxfId="3" priority="4">
      <formula>AND(MONTH($A$1)=MONTH(C2),OR(AND(MOD(WEEKNUM(C2,2),2),ISERROR(MATCH(WEEKDAY(C2,2),$Q$5:$Q$11,0))),AND(MOD(WEEKNUM(C2,2),2)=0,ISERROR(MATCH(WEEKDAY(C2,2),$R$5:$R$11,0)))))</formula>
    </cfRule>
  </conditionalFormatting>
  <conditionalFormatting sqref="F2:F20 F23:F29 E30 F31:F43">
    <cfRule type="expression" dxfId="3" priority="5">
      <formula>AND(MONTH($A$1)=MONTH(C2),OR(AND(MOD(WEEKNUM(C2,2),2),NOT(ISERROR(MATCH(WEEKDAY(C2,2),$Q$5:$Q$11,0)))),AND(MOD(WEEKNUM(C2,2),2)=0,NOT(ISERROR(MATCH(WEEKDAY(C2,2),$R$5:$R$11,0))))))</formula>
    </cfRule>
  </conditionalFormatting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5"/>
    <col customWidth="1" min="3" max="3" width="2.88"/>
    <col customWidth="1" min="4" max="4" width="7.5"/>
    <col customWidth="1" min="7" max="8" width="13.38"/>
    <col customWidth="1" min="9" max="9" width="24.38"/>
    <col customWidth="1" min="10" max="10" width="25.38"/>
    <col customWidth="1" min="14" max="14" width="23.63"/>
    <col customWidth="1" min="16" max="16" width="14.25"/>
  </cols>
  <sheetData>
    <row r="1">
      <c r="A1" s="11">
        <v>45474.0</v>
      </c>
      <c r="B1" s="12" t="s">
        <v>13</v>
      </c>
      <c r="C1" s="13"/>
      <c r="D1" s="14"/>
      <c r="E1" s="15" t="s">
        <v>5</v>
      </c>
      <c r="F1" s="15" t="s">
        <v>14</v>
      </c>
      <c r="G1" s="12"/>
      <c r="H1" s="12"/>
      <c r="I1" s="12" t="s">
        <v>15</v>
      </c>
      <c r="J1" s="12" t="s">
        <v>16</v>
      </c>
    </row>
    <row r="2">
      <c r="A2" s="16">
        <f>A1</f>
        <v>45474</v>
      </c>
      <c r="B2" s="17">
        <f>WEEKNUM(A1)</f>
        <v>27</v>
      </c>
      <c r="C2" s="18">
        <f>A1-WEEKDAY(A1,2)+1</f>
        <v>45474</v>
      </c>
      <c r="D2" s="19">
        <f t="shared" ref="D2:D43" si="1">C2</f>
        <v>45474</v>
      </c>
      <c r="E2" s="21" t="s">
        <v>59</v>
      </c>
      <c r="F2" s="20"/>
      <c r="N2" s="21"/>
    </row>
    <row r="3">
      <c r="A3" s="22"/>
      <c r="B3" s="23"/>
      <c r="C3" s="18">
        <f t="shared" ref="C3:C43" si="2">C2+1</f>
        <v>45475</v>
      </c>
      <c r="D3" s="24">
        <f t="shared" si="1"/>
        <v>45475</v>
      </c>
      <c r="E3" s="21" t="s">
        <v>59</v>
      </c>
      <c r="N3" s="21"/>
    </row>
    <row r="4">
      <c r="A4" s="22"/>
      <c r="B4" s="23"/>
      <c r="C4" s="18">
        <f t="shared" si="2"/>
        <v>45476</v>
      </c>
      <c r="D4" s="24">
        <f t="shared" si="1"/>
        <v>45476</v>
      </c>
      <c r="E4" s="21" t="s">
        <v>59</v>
      </c>
      <c r="N4" s="21"/>
    </row>
    <row r="5">
      <c r="A5" s="22"/>
      <c r="B5" s="23"/>
      <c r="C5" s="18">
        <f t="shared" si="2"/>
        <v>45477</v>
      </c>
      <c r="D5" s="24">
        <f t="shared" si="1"/>
        <v>45477</v>
      </c>
      <c r="E5" s="21" t="s">
        <v>59</v>
      </c>
      <c r="M5" s="26"/>
      <c r="N5" s="21" t="s">
        <v>17</v>
      </c>
      <c r="Q5" s="27"/>
      <c r="R5" s="27">
        <v>1.0</v>
      </c>
    </row>
    <row r="6">
      <c r="A6" s="22"/>
      <c r="B6" s="23"/>
      <c r="C6" s="18">
        <f t="shared" si="2"/>
        <v>45478</v>
      </c>
      <c r="D6" s="24">
        <f t="shared" si="1"/>
        <v>45478</v>
      </c>
      <c r="E6" s="21" t="s">
        <v>59</v>
      </c>
      <c r="M6" s="28"/>
      <c r="N6" s="21" t="s">
        <v>18</v>
      </c>
      <c r="Q6" s="27"/>
      <c r="R6" s="27">
        <v>2.0</v>
      </c>
    </row>
    <row r="7">
      <c r="A7" s="22"/>
      <c r="B7" s="23"/>
      <c r="C7" s="18">
        <f t="shared" si="2"/>
        <v>45479</v>
      </c>
      <c r="D7" s="24">
        <f t="shared" si="1"/>
        <v>45479</v>
      </c>
      <c r="E7" s="21" t="s">
        <v>59</v>
      </c>
      <c r="Q7" s="29"/>
      <c r="R7" s="27">
        <v>3.0</v>
      </c>
    </row>
    <row r="8">
      <c r="A8" s="22"/>
      <c r="B8" s="30"/>
      <c r="C8" s="18">
        <f t="shared" si="2"/>
        <v>45480</v>
      </c>
      <c r="D8" s="24">
        <f t="shared" si="1"/>
        <v>45480</v>
      </c>
      <c r="E8" s="32" t="s">
        <v>59</v>
      </c>
      <c r="F8" s="31"/>
      <c r="H8" s="32"/>
      <c r="I8" s="32"/>
      <c r="J8" s="31"/>
      <c r="M8" s="33"/>
      <c r="N8" s="21" t="s">
        <v>19</v>
      </c>
      <c r="Q8" s="29"/>
      <c r="R8" s="27">
        <v>4.0</v>
      </c>
    </row>
    <row r="9">
      <c r="A9" s="22"/>
      <c r="B9" s="34">
        <f>B2+1</f>
        <v>28</v>
      </c>
      <c r="C9" s="35">
        <f t="shared" si="2"/>
        <v>45481</v>
      </c>
      <c r="D9" s="36">
        <f t="shared" si="1"/>
        <v>45481</v>
      </c>
      <c r="F9" s="80" t="s">
        <v>59</v>
      </c>
      <c r="G9" s="20"/>
      <c r="H9" s="20"/>
      <c r="I9" s="20"/>
      <c r="J9" s="20"/>
      <c r="M9" s="37"/>
      <c r="N9" s="21" t="s">
        <v>20</v>
      </c>
      <c r="Q9" s="29"/>
      <c r="R9" s="27">
        <v>5.0</v>
      </c>
    </row>
    <row r="10">
      <c r="A10" s="22"/>
      <c r="C10" s="18">
        <f t="shared" si="2"/>
        <v>45482</v>
      </c>
      <c r="D10" s="24">
        <f t="shared" si="1"/>
        <v>45482</v>
      </c>
      <c r="F10" s="21" t="s">
        <v>59</v>
      </c>
      <c r="Q10" s="29"/>
      <c r="R10" s="27">
        <v>6.0</v>
      </c>
    </row>
    <row r="11">
      <c r="A11" s="22"/>
      <c r="C11" s="18">
        <f t="shared" si="2"/>
        <v>45483</v>
      </c>
      <c r="D11" s="24">
        <f t="shared" si="1"/>
        <v>45483</v>
      </c>
      <c r="F11" s="21" t="s">
        <v>59</v>
      </c>
      <c r="Q11" s="29"/>
      <c r="R11" s="27">
        <v>7.0</v>
      </c>
    </row>
    <row r="12">
      <c r="A12" s="22"/>
      <c r="C12" s="18">
        <f t="shared" si="2"/>
        <v>45484</v>
      </c>
      <c r="D12" s="24">
        <f t="shared" si="1"/>
        <v>45484</v>
      </c>
      <c r="F12" s="21" t="s">
        <v>59</v>
      </c>
      <c r="K12" s="38"/>
    </row>
    <row r="13">
      <c r="A13" s="22"/>
      <c r="C13" s="18">
        <f t="shared" si="2"/>
        <v>45485</v>
      </c>
      <c r="D13" s="24">
        <f t="shared" si="1"/>
        <v>45485</v>
      </c>
      <c r="F13" s="21" t="s">
        <v>59</v>
      </c>
    </row>
    <row r="14">
      <c r="A14" s="22"/>
      <c r="C14" s="18">
        <f t="shared" si="2"/>
        <v>45486</v>
      </c>
      <c r="D14" s="24">
        <f t="shared" si="1"/>
        <v>45486</v>
      </c>
      <c r="F14" s="25"/>
    </row>
    <row r="15">
      <c r="A15" s="22"/>
      <c r="B15" s="39"/>
      <c r="C15" s="18">
        <f t="shared" si="2"/>
        <v>45487</v>
      </c>
      <c r="D15" s="24">
        <f t="shared" si="1"/>
        <v>45487</v>
      </c>
      <c r="E15" s="31"/>
      <c r="F15" s="31"/>
      <c r="G15" s="31"/>
      <c r="H15" s="31"/>
      <c r="J15" s="31"/>
    </row>
    <row r="16">
      <c r="A16" s="22"/>
      <c r="B16" s="34">
        <f>B9+1</f>
        <v>29</v>
      </c>
      <c r="C16" s="35">
        <f t="shared" si="2"/>
        <v>45488</v>
      </c>
      <c r="D16" s="36">
        <f t="shared" si="1"/>
        <v>45488</v>
      </c>
      <c r="E16" s="21" t="s">
        <v>59</v>
      </c>
      <c r="F16" s="20"/>
      <c r="I16" s="80" t="s">
        <v>22</v>
      </c>
      <c r="J16" s="20"/>
      <c r="N16" s="40"/>
      <c r="O16" s="41"/>
      <c r="P16" s="41"/>
      <c r="R16" s="41"/>
    </row>
    <row r="17">
      <c r="A17" s="22"/>
      <c r="C17" s="18">
        <f t="shared" si="2"/>
        <v>45489</v>
      </c>
      <c r="D17" s="24">
        <f t="shared" si="1"/>
        <v>45489</v>
      </c>
      <c r="E17" s="21" t="s">
        <v>59</v>
      </c>
      <c r="I17" s="21" t="s">
        <v>22</v>
      </c>
      <c r="N17" s="40"/>
      <c r="O17" s="41"/>
      <c r="P17" s="41"/>
      <c r="R17" s="41"/>
    </row>
    <row r="18">
      <c r="A18" s="22"/>
      <c r="C18" s="18">
        <f t="shared" si="2"/>
        <v>45490</v>
      </c>
      <c r="D18" s="24">
        <f t="shared" si="1"/>
        <v>45490</v>
      </c>
      <c r="E18" s="21" t="s">
        <v>59</v>
      </c>
      <c r="I18" s="21" t="s">
        <v>22</v>
      </c>
      <c r="N18" s="40"/>
      <c r="O18" s="41"/>
      <c r="P18" s="41"/>
      <c r="R18" s="41"/>
    </row>
    <row r="19">
      <c r="A19" s="22"/>
      <c r="C19" s="18">
        <f t="shared" si="2"/>
        <v>45491</v>
      </c>
      <c r="D19" s="24">
        <f t="shared" si="1"/>
        <v>45491</v>
      </c>
      <c r="E19" s="21" t="s">
        <v>59</v>
      </c>
      <c r="G19" s="21"/>
      <c r="I19" s="21" t="s">
        <v>22</v>
      </c>
      <c r="N19" s="40"/>
      <c r="O19" s="41"/>
      <c r="P19" s="41"/>
      <c r="R19" s="41"/>
    </row>
    <row r="20">
      <c r="A20" s="22"/>
      <c r="C20" s="18">
        <f t="shared" si="2"/>
        <v>45492</v>
      </c>
      <c r="D20" s="24">
        <f t="shared" si="1"/>
        <v>45492</v>
      </c>
      <c r="E20" s="21" t="s">
        <v>59</v>
      </c>
      <c r="I20" s="21" t="s">
        <v>22</v>
      </c>
      <c r="N20" s="40"/>
      <c r="O20" s="41"/>
      <c r="P20" s="41"/>
      <c r="R20" s="41"/>
    </row>
    <row r="21">
      <c r="A21" s="22"/>
      <c r="C21" s="18">
        <f t="shared" si="2"/>
        <v>45493</v>
      </c>
      <c r="D21" s="24">
        <f t="shared" si="1"/>
        <v>45493</v>
      </c>
      <c r="E21" s="21" t="s">
        <v>59</v>
      </c>
      <c r="I21" s="21" t="s">
        <v>22</v>
      </c>
      <c r="N21" s="40"/>
      <c r="O21" s="41"/>
      <c r="P21" s="41"/>
      <c r="R21" s="41"/>
    </row>
    <row r="22">
      <c r="A22" s="22"/>
      <c r="B22" s="39"/>
      <c r="C22" s="18">
        <f t="shared" si="2"/>
        <v>45494</v>
      </c>
      <c r="D22" s="24">
        <f t="shared" si="1"/>
        <v>45494</v>
      </c>
      <c r="E22" s="32" t="s">
        <v>59</v>
      </c>
      <c r="F22" s="31"/>
      <c r="G22" s="31"/>
      <c r="H22" s="31"/>
      <c r="I22" s="32" t="s">
        <v>22</v>
      </c>
      <c r="J22" s="31"/>
      <c r="N22" s="40"/>
      <c r="O22" s="41"/>
      <c r="P22" s="41"/>
      <c r="R22" s="41"/>
    </row>
    <row r="23">
      <c r="A23" s="22"/>
      <c r="B23" s="34">
        <f>B16+1</f>
        <v>30</v>
      </c>
      <c r="C23" s="35">
        <f t="shared" si="2"/>
        <v>45495</v>
      </c>
      <c r="D23" s="36">
        <f t="shared" si="1"/>
        <v>45495</v>
      </c>
      <c r="F23" s="20"/>
      <c r="G23" s="20"/>
      <c r="H23" s="20"/>
      <c r="I23" s="21" t="s">
        <v>197</v>
      </c>
      <c r="J23" s="20"/>
      <c r="N23" s="40"/>
      <c r="O23" s="41"/>
      <c r="P23" s="41"/>
      <c r="R23" s="41"/>
    </row>
    <row r="24">
      <c r="A24" s="22"/>
      <c r="C24" s="18">
        <f t="shared" si="2"/>
        <v>45496</v>
      </c>
      <c r="D24" s="24">
        <f t="shared" si="1"/>
        <v>45496</v>
      </c>
      <c r="F24" s="25"/>
      <c r="I24" s="21" t="s">
        <v>117</v>
      </c>
      <c r="N24" s="40"/>
      <c r="O24" s="41"/>
      <c r="P24" s="41"/>
      <c r="R24" s="41"/>
    </row>
    <row r="25">
      <c r="A25" s="22"/>
      <c r="C25" s="18">
        <f t="shared" si="2"/>
        <v>45497</v>
      </c>
      <c r="D25" s="24">
        <f t="shared" si="1"/>
        <v>45497</v>
      </c>
      <c r="F25" s="25"/>
      <c r="I25" s="21" t="s">
        <v>117</v>
      </c>
      <c r="N25" s="40"/>
      <c r="O25" s="41"/>
      <c r="P25" s="41"/>
      <c r="R25" s="41"/>
    </row>
    <row r="26">
      <c r="A26" s="22"/>
      <c r="C26" s="18">
        <f t="shared" si="2"/>
        <v>45498</v>
      </c>
      <c r="D26" s="24">
        <f t="shared" si="1"/>
        <v>45498</v>
      </c>
      <c r="F26" s="25"/>
      <c r="I26" s="21" t="s">
        <v>117</v>
      </c>
      <c r="N26" s="40"/>
      <c r="O26" s="41"/>
      <c r="P26" s="41"/>
      <c r="R26" s="41"/>
    </row>
    <row r="27">
      <c r="A27" s="22"/>
      <c r="C27" s="18">
        <f t="shared" si="2"/>
        <v>45499</v>
      </c>
      <c r="D27" s="24">
        <f t="shared" si="1"/>
        <v>45499</v>
      </c>
      <c r="F27" s="25"/>
      <c r="I27" s="21" t="s">
        <v>117</v>
      </c>
      <c r="N27" s="40"/>
      <c r="O27" s="41"/>
      <c r="P27" s="41"/>
      <c r="R27" s="41"/>
    </row>
    <row r="28">
      <c r="A28" s="22"/>
      <c r="C28" s="18">
        <f t="shared" si="2"/>
        <v>45500</v>
      </c>
      <c r="D28" s="24">
        <f t="shared" si="1"/>
        <v>45500</v>
      </c>
      <c r="F28" s="25"/>
      <c r="I28" s="21" t="s">
        <v>117</v>
      </c>
      <c r="N28" s="40"/>
      <c r="O28" s="41"/>
      <c r="P28" s="41"/>
      <c r="R28" s="41"/>
    </row>
    <row r="29">
      <c r="A29" s="22"/>
      <c r="B29" s="39"/>
      <c r="C29" s="18">
        <f t="shared" si="2"/>
        <v>45501</v>
      </c>
      <c r="D29" s="24">
        <f t="shared" si="1"/>
        <v>45501</v>
      </c>
      <c r="E29" s="31"/>
      <c r="F29" s="31"/>
      <c r="G29" s="31"/>
      <c r="H29" s="31"/>
      <c r="I29" s="32" t="s">
        <v>117</v>
      </c>
      <c r="J29" s="31"/>
      <c r="N29" s="40"/>
      <c r="O29" s="41"/>
      <c r="P29" s="41"/>
      <c r="R29" s="41"/>
    </row>
    <row r="30">
      <c r="A30" s="22"/>
      <c r="B30" s="34">
        <f>B23+1</f>
        <v>31</v>
      </c>
      <c r="C30" s="35">
        <f t="shared" si="2"/>
        <v>45502</v>
      </c>
      <c r="D30" s="36">
        <f t="shared" si="1"/>
        <v>45502</v>
      </c>
      <c r="E30" s="21" t="s">
        <v>59</v>
      </c>
      <c r="F30" s="20"/>
      <c r="G30" s="20"/>
      <c r="J30" s="20"/>
      <c r="N30" s="40"/>
      <c r="O30" s="41"/>
      <c r="P30" s="41"/>
      <c r="R30" s="41"/>
    </row>
    <row r="31">
      <c r="A31" s="22"/>
      <c r="C31" s="18">
        <f t="shared" si="2"/>
        <v>45503</v>
      </c>
      <c r="D31" s="24">
        <f t="shared" si="1"/>
        <v>45503</v>
      </c>
      <c r="E31" s="21" t="s">
        <v>59</v>
      </c>
      <c r="N31" s="40"/>
      <c r="O31" s="41"/>
      <c r="P31" s="41"/>
      <c r="R31" s="41"/>
    </row>
    <row r="32">
      <c r="A32" s="22"/>
      <c r="C32" s="18">
        <f t="shared" si="2"/>
        <v>45504</v>
      </c>
      <c r="D32" s="24">
        <f t="shared" si="1"/>
        <v>45504</v>
      </c>
      <c r="E32" s="21" t="s">
        <v>59</v>
      </c>
      <c r="N32" s="40"/>
      <c r="O32" s="41"/>
      <c r="P32" s="41"/>
      <c r="R32" s="41"/>
    </row>
    <row r="33">
      <c r="A33" s="22"/>
      <c r="C33" s="18">
        <f t="shared" si="2"/>
        <v>45505</v>
      </c>
      <c r="D33" s="24">
        <f t="shared" si="1"/>
        <v>45505</v>
      </c>
      <c r="N33" s="40"/>
      <c r="O33" s="41"/>
      <c r="P33" s="41"/>
      <c r="R33" s="41"/>
    </row>
    <row r="34">
      <c r="A34" s="22"/>
      <c r="C34" s="18">
        <f t="shared" si="2"/>
        <v>45506</v>
      </c>
      <c r="D34" s="24">
        <f t="shared" si="1"/>
        <v>45506</v>
      </c>
      <c r="N34" s="40"/>
      <c r="O34" s="41"/>
      <c r="P34" s="41"/>
      <c r="R34" s="41"/>
    </row>
    <row r="35">
      <c r="A35" s="22"/>
      <c r="C35" s="18">
        <f t="shared" si="2"/>
        <v>45507</v>
      </c>
      <c r="D35" s="24">
        <f t="shared" si="1"/>
        <v>45507</v>
      </c>
      <c r="N35" s="40"/>
      <c r="O35" s="41"/>
      <c r="P35" s="41"/>
      <c r="R35" s="41"/>
    </row>
    <row r="36">
      <c r="A36" s="22"/>
      <c r="B36" s="39"/>
      <c r="C36" s="18">
        <f t="shared" si="2"/>
        <v>45508</v>
      </c>
      <c r="D36" s="24">
        <f t="shared" si="1"/>
        <v>45508</v>
      </c>
      <c r="E36" s="31"/>
      <c r="F36" s="31"/>
      <c r="N36" s="40"/>
      <c r="O36" s="41"/>
      <c r="P36" s="41"/>
      <c r="R36" s="41"/>
    </row>
    <row r="37">
      <c r="A37" s="22"/>
      <c r="B37" s="34">
        <f>B30+1</f>
        <v>32</v>
      </c>
      <c r="C37" s="35">
        <f t="shared" si="2"/>
        <v>45509</v>
      </c>
      <c r="D37" s="36">
        <f t="shared" si="1"/>
        <v>45509</v>
      </c>
      <c r="F37" s="20"/>
      <c r="G37" s="20"/>
      <c r="H37" s="20"/>
      <c r="I37" s="20"/>
      <c r="J37" s="20"/>
    </row>
    <row r="38">
      <c r="A38" s="22"/>
      <c r="C38" s="18">
        <f t="shared" si="2"/>
        <v>45510</v>
      </c>
      <c r="D38" s="24">
        <f t="shared" si="1"/>
        <v>45510</v>
      </c>
    </row>
    <row r="39">
      <c r="A39" s="22"/>
      <c r="C39" s="18">
        <f t="shared" si="2"/>
        <v>45511</v>
      </c>
      <c r="D39" s="24">
        <f t="shared" si="1"/>
        <v>45511</v>
      </c>
    </row>
    <row r="40">
      <c r="A40" s="22"/>
      <c r="C40" s="18">
        <f t="shared" si="2"/>
        <v>45512</v>
      </c>
      <c r="D40" s="24">
        <f t="shared" si="1"/>
        <v>45512</v>
      </c>
    </row>
    <row r="41">
      <c r="A41" s="22"/>
      <c r="C41" s="18">
        <f t="shared" si="2"/>
        <v>45513</v>
      </c>
      <c r="D41" s="24">
        <f t="shared" si="1"/>
        <v>45513</v>
      </c>
    </row>
    <row r="42">
      <c r="A42" s="22"/>
      <c r="C42" s="18">
        <f t="shared" si="2"/>
        <v>45514</v>
      </c>
      <c r="D42" s="24">
        <f t="shared" si="1"/>
        <v>45514</v>
      </c>
    </row>
    <row r="43">
      <c r="A43" s="22"/>
      <c r="B43" s="39"/>
      <c r="C43" s="42">
        <f t="shared" si="2"/>
        <v>45515</v>
      </c>
      <c r="D43" s="43">
        <f t="shared" si="1"/>
        <v>45515</v>
      </c>
      <c r="E43" s="31"/>
      <c r="F43" s="31"/>
      <c r="G43" s="31"/>
      <c r="H43" s="31"/>
      <c r="I43" s="31"/>
      <c r="J43" s="31"/>
    </row>
  </sheetData>
  <autoFilter ref="$C$1:$C$1003">
    <sortState ref="C1:C1003">
      <sortCondition descending="1" sortBy="cellColor" ref="C1:C1003" dxfId="1"/>
    </sortState>
  </autoFilter>
  <mergeCells count="7">
    <mergeCell ref="A2:A43"/>
    <mergeCell ref="B2:B8"/>
    <mergeCell ref="B9:B15"/>
    <mergeCell ref="B16:B22"/>
    <mergeCell ref="B23:B29"/>
    <mergeCell ref="B30:B36"/>
    <mergeCell ref="B37:B43"/>
  </mergeCells>
  <conditionalFormatting sqref="C2:C43">
    <cfRule type="timePeriod" dxfId="2" priority="3" timePeriod="today"/>
  </conditionalFormatting>
  <conditionalFormatting sqref="E2:E43">
    <cfRule type="expression" dxfId="3" priority="4">
      <formula>AND(MONTH($A$1)=MONTH(C2),OR(AND(MOD(WEEKNUM(C2,2),2),ISERROR(MATCH(WEEKDAY(C2,2),$Q$5:$Q$11,0))),AND(MOD(WEEKNUM(C2,2),2)=0,ISERROR(MATCH(WEEKDAY(C2,2),$R$5:$R$11,0)))))</formula>
    </cfRule>
  </conditionalFormatting>
  <conditionalFormatting sqref="F2:F43">
    <cfRule type="expression" dxfId="3" priority="5">
      <formula>AND(MONTH($A$1)=MONTH(C2),OR(AND(MOD(WEEKNUM(C2,2),2),NOT(ISERROR(MATCH(WEEKDAY(C2,2),$Q$5:$Q$11,0)))),AND(MOD(WEEKNUM(C2,2),2)=0,NOT(ISERROR(MATCH(WEEKDAY(C2,2),$R$5:$R$11,0))))))</formula>
    </cfRule>
  </conditionalFormatting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5"/>
    <col customWidth="1" min="3" max="3" width="2.88"/>
    <col customWidth="1" min="4" max="4" width="7.5"/>
    <col customWidth="1" min="7" max="7" width="24.75"/>
    <col customWidth="1" min="8" max="8" width="13.38"/>
    <col customWidth="1" min="9" max="9" width="22.63"/>
    <col customWidth="1" min="10" max="10" width="29.88"/>
    <col customWidth="1" min="14" max="14" width="23.63"/>
    <col customWidth="1" min="16" max="16" width="14.25"/>
  </cols>
  <sheetData>
    <row r="1">
      <c r="A1" s="11">
        <v>45505.0</v>
      </c>
      <c r="B1" s="12" t="s">
        <v>13</v>
      </c>
      <c r="C1" s="13"/>
      <c r="D1" s="14"/>
      <c r="E1" s="15" t="s">
        <v>5</v>
      </c>
      <c r="F1" s="15" t="s">
        <v>14</v>
      </c>
      <c r="G1" s="12"/>
      <c r="H1" s="12"/>
      <c r="I1" s="12" t="s">
        <v>15</v>
      </c>
      <c r="J1" s="12" t="s">
        <v>16</v>
      </c>
    </row>
    <row r="2">
      <c r="A2" s="16">
        <f>A1</f>
        <v>45505</v>
      </c>
      <c r="B2" s="17">
        <f>WEEKNUM(A1)</f>
        <v>31</v>
      </c>
      <c r="C2" s="18">
        <f>A1-WEEKDAY(A1,2)+1</f>
        <v>45502</v>
      </c>
      <c r="D2" s="19">
        <f t="shared" ref="D2:D43" si="1">C2</f>
        <v>45502</v>
      </c>
      <c r="F2" s="20"/>
      <c r="N2" s="21"/>
    </row>
    <row r="3">
      <c r="A3" s="22"/>
      <c r="B3" s="23"/>
      <c r="C3" s="18">
        <f t="shared" ref="C3:C43" si="2">C2+1</f>
        <v>45503</v>
      </c>
      <c r="D3" s="24">
        <f t="shared" si="1"/>
        <v>45503</v>
      </c>
      <c r="N3" s="21"/>
    </row>
    <row r="4">
      <c r="A4" s="22"/>
      <c r="B4" s="23"/>
      <c r="C4" s="18">
        <f t="shared" si="2"/>
        <v>45504</v>
      </c>
      <c r="D4" s="24">
        <f t="shared" si="1"/>
        <v>45504</v>
      </c>
      <c r="N4" s="21"/>
    </row>
    <row r="5">
      <c r="A5" s="22"/>
      <c r="B5" s="23"/>
      <c r="C5" s="18">
        <f t="shared" si="2"/>
        <v>45505</v>
      </c>
      <c r="D5" s="24">
        <f t="shared" si="1"/>
        <v>45505</v>
      </c>
      <c r="E5" s="21" t="s">
        <v>59</v>
      </c>
      <c r="M5" s="26"/>
      <c r="N5" s="21" t="s">
        <v>17</v>
      </c>
      <c r="Q5" s="27"/>
      <c r="R5" s="27">
        <v>1.0</v>
      </c>
    </row>
    <row r="6">
      <c r="A6" s="22"/>
      <c r="B6" s="23"/>
      <c r="C6" s="18">
        <f t="shared" si="2"/>
        <v>45506</v>
      </c>
      <c r="D6" s="24">
        <f t="shared" si="1"/>
        <v>45506</v>
      </c>
      <c r="E6" s="21" t="s">
        <v>59</v>
      </c>
      <c r="M6" s="28"/>
      <c r="N6" s="21" t="s">
        <v>18</v>
      </c>
      <c r="Q6" s="27"/>
      <c r="R6" s="27">
        <v>2.0</v>
      </c>
    </row>
    <row r="7">
      <c r="A7" s="22"/>
      <c r="B7" s="23"/>
      <c r="C7" s="18">
        <f t="shared" si="2"/>
        <v>45507</v>
      </c>
      <c r="D7" s="24">
        <f t="shared" si="1"/>
        <v>45507</v>
      </c>
      <c r="E7" s="21" t="s">
        <v>59</v>
      </c>
      <c r="Q7" s="29"/>
      <c r="R7" s="27">
        <v>3.0</v>
      </c>
    </row>
    <row r="8">
      <c r="A8" s="22"/>
      <c r="B8" s="30"/>
      <c r="C8" s="18">
        <f t="shared" si="2"/>
        <v>45508</v>
      </c>
      <c r="D8" s="24">
        <f t="shared" si="1"/>
        <v>45508</v>
      </c>
      <c r="E8" s="31"/>
      <c r="F8" s="31"/>
      <c r="G8" s="32"/>
      <c r="H8" s="32"/>
      <c r="I8" s="32"/>
      <c r="J8" s="31"/>
      <c r="M8" s="33"/>
      <c r="N8" s="21" t="s">
        <v>19</v>
      </c>
      <c r="Q8" s="29"/>
      <c r="R8" s="27">
        <v>4.0</v>
      </c>
    </row>
    <row r="9">
      <c r="A9" s="22"/>
      <c r="B9" s="34">
        <f>B2+1</f>
        <v>32</v>
      </c>
      <c r="C9" s="35">
        <f t="shared" si="2"/>
        <v>45509</v>
      </c>
      <c r="D9" s="36">
        <f t="shared" si="1"/>
        <v>45509</v>
      </c>
      <c r="F9" s="80"/>
      <c r="G9" s="80" t="s">
        <v>198</v>
      </c>
      <c r="H9" s="20"/>
      <c r="I9" s="20"/>
      <c r="J9" s="20"/>
      <c r="M9" s="37"/>
      <c r="N9" s="21" t="s">
        <v>20</v>
      </c>
      <c r="Q9" s="29"/>
      <c r="R9" s="27">
        <v>5.0</v>
      </c>
    </row>
    <row r="10">
      <c r="A10" s="22"/>
      <c r="C10" s="18">
        <f t="shared" si="2"/>
        <v>45510</v>
      </c>
      <c r="D10" s="24">
        <f t="shared" si="1"/>
        <v>45510</v>
      </c>
      <c r="F10" s="25"/>
      <c r="Q10" s="29"/>
      <c r="R10" s="27">
        <v>6.0</v>
      </c>
    </row>
    <row r="11">
      <c r="A11" s="22"/>
      <c r="C11" s="18">
        <f t="shared" si="2"/>
        <v>45511</v>
      </c>
      <c r="D11" s="24">
        <f t="shared" si="1"/>
        <v>45511</v>
      </c>
      <c r="F11" s="25"/>
      <c r="Q11" s="29"/>
      <c r="R11" s="27">
        <v>7.0</v>
      </c>
    </row>
    <row r="12">
      <c r="A12" s="22"/>
      <c r="C12" s="18">
        <f t="shared" si="2"/>
        <v>45512</v>
      </c>
      <c r="D12" s="24">
        <f t="shared" si="1"/>
        <v>45512</v>
      </c>
      <c r="F12" s="25"/>
      <c r="K12" s="38"/>
    </row>
    <row r="13">
      <c r="A13" s="22"/>
      <c r="C13" s="18">
        <f t="shared" si="2"/>
        <v>45513</v>
      </c>
      <c r="D13" s="24">
        <f t="shared" si="1"/>
        <v>45513</v>
      </c>
      <c r="F13" s="25"/>
    </row>
    <row r="14">
      <c r="A14" s="22"/>
      <c r="C14" s="18">
        <f t="shared" si="2"/>
        <v>45514</v>
      </c>
      <c r="D14" s="24">
        <f t="shared" si="1"/>
        <v>45514</v>
      </c>
      <c r="F14" s="25"/>
    </row>
    <row r="15">
      <c r="A15" s="22"/>
      <c r="B15" s="39"/>
      <c r="C15" s="18">
        <f t="shared" si="2"/>
        <v>45515</v>
      </c>
      <c r="D15" s="24">
        <f t="shared" si="1"/>
        <v>45515</v>
      </c>
      <c r="E15" s="31"/>
      <c r="F15" s="31"/>
      <c r="G15" s="31"/>
      <c r="H15" s="31"/>
      <c r="I15" s="31"/>
      <c r="J15" s="31"/>
    </row>
    <row r="16">
      <c r="A16" s="22"/>
      <c r="B16" s="34">
        <f>B9+1</f>
        <v>33</v>
      </c>
      <c r="C16" s="35">
        <f t="shared" si="2"/>
        <v>45516</v>
      </c>
      <c r="D16" s="36">
        <f t="shared" si="1"/>
        <v>45516</v>
      </c>
      <c r="E16" s="25"/>
      <c r="F16" s="20"/>
      <c r="I16" s="20"/>
      <c r="J16" s="20"/>
      <c r="N16" s="40"/>
      <c r="O16" s="41"/>
      <c r="P16" s="41"/>
      <c r="R16" s="41"/>
    </row>
    <row r="17">
      <c r="A17" s="22"/>
      <c r="C17" s="18">
        <f t="shared" si="2"/>
        <v>45517</v>
      </c>
      <c r="D17" s="24">
        <f t="shared" si="1"/>
        <v>45517</v>
      </c>
      <c r="E17" s="25"/>
      <c r="N17" s="40"/>
      <c r="O17" s="41"/>
      <c r="P17" s="41"/>
      <c r="R17" s="41"/>
    </row>
    <row r="18">
      <c r="A18" s="22"/>
      <c r="C18" s="18">
        <f t="shared" si="2"/>
        <v>45518</v>
      </c>
      <c r="D18" s="24">
        <f t="shared" si="1"/>
        <v>45518</v>
      </c>
      <c r="E18" s="25"/>
      <c r="G18" s="46" t="s">
        <v>199</v>
      </c>
      <c r="H18" s="46" t="s">
        <v>200</v>
      </c>
      <c r="J18" s="21" t="s">
        <v>201</v>
      </c>
      <c r="N18" s="40"/>
      <c r="O18" s="41"/>
      <c r="P18" s="41"/>
      <c r="R18" s="41"/>
    </row>
    <row r="19">
      <c r="A19" s="22"/>
      <c r="C19" s="18">
        <f t="shared" si="2"/>
        <v>45519</v>
      </c>
      <c r="D19" s="24">
        <f t="shared" si="1"/>
        <v>45519</v>
      </c>
      <c r="E19" s="25"/>
      <c r="G19" s="21" t="s">
        <v>202</v>
      </c>
      <c r="N19" s="40"/>
      <c r="O19" s="41"/>
      <c r="P19" s="41"/>
      <c r="R19" s="41"/>
    </row>
    <row r="20">
      <c r="A20" s="22"/>
      <c r="C20" s="18">
        <f t="shared" si="2"/>
        <v>45520</v>
      </c>
      <c r="D20" s="24">
        <f t="shared" si="1"/>
        <v>45520</v>
      </c>
      <c r="E20" s="25"/>
      <c r="G20" s="21" t="s">
        <v>202</v>
      </c>
      <c r="N20" s="40"/>
      <c r="O20" s="41"/>
      <c r="P20" s="41"/>
      <c r="R20" s="41"/>
    </row>
    <row r="21">
      <c r="A21" s="22"/>
      <c r="C21" s="18">
        <f t="shared" si="2"/>
        <v>45521</v>
      </c>
      <c r="D21" s="24">
        <f t="shared" si="1"/>
        <v>45521</v>
      </c>
      <c r="E21" s="25"/>
      <c r="N21" s="40"/>
      <c r="O21" s="41"/>
      <c r="P21" s="41"/>
      <c r="R21" s="41"/>
    </row>
    <row r="22">
      <c r="A22" s="22"/>
      <c r="B22" s="39"/>
      <c r="C22" s="18">
        <f t="shared" si="2"/>
        <v>45522</v>
      </c>
      <c r="D22" s="24">
        <f t="shared" si="1"/>
        <v>45522</v>
      </c>
      <c r="E22" s="31"/>
      <c r="F22" s="31"/>
      <c r="G22" s="31"/>
      <c r="H22" s="31"/>
      <c r="I22" s="32"/>
      <c r="J22" s="31"/>
      <c r="N22" s="40"/>
      <c r="O22" s="41"/>
      <c r="P22" s="41"/>
      <c r="R22" s="41"/>
    </row>
    <row r="23">
      <c r="A23" s="22"/>
      <c r="B23" s="34">
        <f>B16+1</f>
        <v>34</v>
      </c>
      <c r="C23" s="35">
        <f t="shared" si="2"/>
        <v>45523</v>
      </c>
      <c r="D23" s="36">
        <f t="shared" si="1"/>
        <v>45523</v>
      </c>
      <c r="F23" s="20"/>
      <c r="G23" s="80" t="s">
        <v>54</v>
      </c>
      <c r="H23" s="20"/>
      <c r="J23" s="20"/>
      <c r="N23" s="40"/>
      <c r="O23" s="41"/>
      <c r="P23" s="41"/>
      <c r="R23" s="41"/>
    </row>
    <row r="24">
      <c r="A24" s="22"/>
      <c r="C24" s="18">
        <f t="shared" si="2"/>
        <v>45524</v>
      </c>
      <c r="D24" s="24">
        <f t="shared" si="1"/>
        <v>45524</v>
      </c>
      <c r="F24" s="25"/>
      <c r="G24" s="21" t="s">
        <v>203</v>
      </c>
      <c r="N24" s="40"/>
      <c r="O24" s="41"/>
      <c r="P24" s="41"/>
      <c r="R24" s="41"/>
    </row>
    <row r="25">
      <c r="A25" s="22"/>
      <c r="C25" s="18">
        <f t="shared" si="2"/>
        <v>45525</v>
      </c>
      <c r="D25" s="24">
        <f t="shared" si="1"/>
        <v>45525</v>
      </c>
      <c r="F25" s="25"/>
      <c r="N25" s="40"/>
      <c r="O25" s="41"/>
      <c r="P25" s="41"/>
      <c r="R25" s="41"/>
    </row>
    <row r="26">
      <c r="A26" s="22"/>
      <c r="C26" s="18">
        <f t="shared" si="2"/>
        <v>45526</v>
      </c>
      <c r="D26" s="24">
        <f t="shared" si="1"/>
        <v>45526</v>
      </c>
      <c r="F26" s="25"/>
      <c r="N26" s="40"/>
      <c r="O26" s="41"/>
      <c r="P26" s="41"/>
      <c r="R26" s="41"/>
    </row>
    <row r="27">
      <c r="A27" s="22"/>
      <c r="C27" s="18">
        <f t="shared" si="2"/>
        <v>45527</v>
      </c>
      <c r="D27" s="24">
        <f t="shared" si="1"/>
        <v>45527</v>
      </c>
      <c r="F27" s="25"/>
      <c r="N27" s="40"/>
      <c r="O27" s="41"/>
      <c r="P27" s="41"/>
      <c r="R27" s="41"/>
    </row>
    <row r="28">
      <c r="A28" s="22"/>
      <c r="C28" s="18">
        <f t="shared" si="2"/>
        <v>45528</v>
      </c>
      <c r="D28" s="24">
        <f t="shared" si="1"/>
        <v>45528</v>
      </c>
      <c r="F28" s="25"/>
      <c r="N28" s="40"/>
      <c r="O28" s="41"/>
      <c r="P28" s="41"/>
      <c r="R28" s="41"/>
    </row>
    <row r="29">
      <c r="A29" s="22"/>
      <c r="B29" s="39"/>
      <c r="C29" s="18">
        <f t="shared" si="2"/>
        <v>45529</v>
      </c>
      <c r="D29" s="24">
        <f t="shared" si="1"/>
        <v>45529</v>
      </c>
      <c r="E29" s="31"/>
      <c r="F29" s="31"/>
      <c r="G29" s="31"/>
      <c r="H29" s="31"/>
      <c r="I29" s="32"/>
      <c r="J29" s="31"/>
      <c r="N29" s="40"/>
      <c r="O29" s="41"/>
      <c r="P29" s="41"/>
      <c r="R29" s="41"/>
    </row>
    <row r="30">
      <c r="A30" s="22"/>
      <c r="B30" s="34">
        <f>B23+1</f>
        <v>35</v>
      </c>
      <c r="C30" s="35">
        <f t="shared" si="2"/>
        <v>45530</v>
      </c>
      <c r="D30" s="36">
        <f t="shared" si="1"/>
        <v>45530</v>
      </c>
      <c r="E30" s="25"/>
      <c r="F30" s="20"/>
      <c r="G30" s="20"/>
      <c r="J30" s="20"/>
      <c r="N30" s="40"/>
      <c r="O30" s="41"/>
      <c r="P30" s="41"/>
      <c r="R30" s="41"/>
    </row>
    <row r="31">
      <c r="A31" s="22"/>
      <c r="C31" s="18">
        <f t="shared" si="2"/>
        <v>45531</v>
      </c>
      <c r="D31" s="24">
        <f t="shared" si="1"/>
        <v>45531</v>
      </c>
      <c r="E31" s="25"/>
      <c r="N31" s="40"/>
      <c r="O31" s="41"/>
      <c r="P31" s="41"/>
      <c r="R31" s="41"/>
    </row>
    <row r="32">
      <c r="A32" s="22"/>
      <c r="C32" s="18">
        <f t="shared" si="2"/>
        <v>45532</v>
      </c>
      <c r="D32" s="24">
        <f t="shared" si="1"/>
        <v>45532</v>
      </c>
      <c r="E32" s="25"/>
      <c r="N32" s="40"/>
      <c r="O32" s="41"/>
      <c r="P32" s="41"/>
      <c r="R32" s="41"/>
    </row>
    <row r="33">
      <c r="A33" s="22"/>
      <c r="C33" s="18">
        <f t="shared" si="2"/>
        <v>45533</v>
      </c>
      <c r="D33" s="24">
        <f t="shared" si="1"/>
        <v>45533</v>
      </c>
      <c r="E33" s="28"/>
      <c r="F33" s="47" t="s">
        <v>26</v>
      </c>
      <c r="I33" s="21" t="s">
        <v>204</v>
      </c>
      <c r="N33" s="40"/>
      <c r="O33" s="41"/>
      <c r="P33" s="41"/>
      <c r="R33" s="41"/>
    </row>
    <row r="34">
      <c r="A34" s="22"/>
      <c r="C34" s="18">
        <f t="shared" si="2"/>
        <v>45534</v>
      </c>
      <c r="D34" s="24">
        <f t="shared" si="1"/>
        <v>45534</v>
      </c>
      <c r="E34" s="25"/>
      <c r="F34" s="21" t="s">
        <v>26</v>
      </c>
      <c r="I34" s="21" t="s">
        <v>204</v>
      </c>
      <c r="N34" s="40"/>
      <c r="O34" s="41"/>
      <c r="P34" s="41"/>
      <c r="R34" s="41"/>
    </row>
    <row r="35">
      <c r="A35" s="22"/>
      <c r="C35" s="18">
        <f t="shared" si="2"/>
        <v>45535</v>
      </c>
      <c r="D35" s="24">
        <f t="shared" si="1"/>
        <v>45535</v>
      </c>
      <c r="E35" s="25"/>
      <c r="N35" s="40"/>
      <c r="O35" s="41"/>
      <c r="P35" s="41"/>
      <c r="R35" s="41"/>
    </row>
    <row r="36">
      <c r="A36" s="22"/>
      <c r="B36" s="39"/>
      <c r="C36" s="18">
        <f t="shared" si="2"/>
        <v>45536</v>
      </c>
      <c r="D36" s="24">
        <f t="shared" si="1"/>
        <v>45536</v>
      </c>
      <c r="E36" s="31"/>
      <c r="F36" s="31"/>
      <c r="N36" s="40"/>
      <c r="O36" s="41"/>
      <c r="P36" s="41"/>
      <c r="R36" s="41"/>
    </row>
    <row r="37">
      <c r="A37" s="22"/>
      <c r="B37" s="34">
        <f>B30+1</f>
        <v>36</v>
      </c>
      <c r="C37" s="35">
        <f t="shared" si="2"/>
        <v>45537</v>
      </c>
      <c r="D37" s="36">
        <f t="shared" si="1"/>
        <v>45537</v>
      </c>
      <c r="F37" s="20"/>
      <c r="G37" s="20"/>
      <c r="H37" s="20"/>
      <c r="I37" s="20"/>
      <c r="J37" s="20"/>
    </row>
    <row r="38">
      <c r="A38" s="22"/>
      <c r="C38" s="18">
        <f t="shared" si="2"/>
        <v>45538</v>
      </c>
      <c r="D38" s="24">
        <f t="shared" si="1"/>
        <v>45538</v>
      </c>
    </row>
    <row r="39">
      <c r="A39" s="22"/>
      <c r="C39" s="18">
        <f t="shared" si="2"/>
        <v>45539</v>
      </c>
      <c r="D39" s="24">
        <f t="shared" si="1"/>
        <v>45539</v>
      </c>
    </row>
    <row r="40">
      <c r="A40" s="22"/>
      <c r="C40" s="18">
        <f t="shared" si="2"/>
        <v>45540</v>
      </c>
      <c r="D40" s="24">
        <f t="shared" si="1"/>
        <v>45540</v>
      </c>
    </row>
    <row r="41">
      <c r="A41" s="22"/>
      <c r="C41" s="18">
        <f t="shared" si="2"/>
        <v>45541</v>
      </c>
      <c r="D41" s="24">
        <f t="shared" si="1"/>
        <v>45541</v>
      </c>
    </row>
    <row r="42">
      <c r="A42" s="22"/>
      <c r="C42" s="18">
        <f t="shared" si="2"/>
        <v>45542</v>
      </c>
      <c r="D42" s="24">
        <f t="shared" si="1"/>
        <v>45542</v>
      </c>
    </row>
    <row r="43">
      <c r="A43" s="22"/>
      <c r="B43" s="39"/>
      <c r="C43" s="42">
        <f t="shared" si="2"/>
        <v>45543</v>
      </c>
      <c r="D43" s="43">
        <f t="shared" si="1"/>
        <v>45543</v>
      </c>
      <c r="E43" s="31"/>
      <c r="F43" s="31"/>
      <c r="G43" s="31"/>
      <c r="H43" s="31"/>
      <c r="I43" s="31"/>
      <c r="J43" s="31"/>
    </row>
  </sheetData>
  <autoFilter ref="$C$1:$C$1003">
    <sortState ref="C1:C1003">
      <sortCondition descending="1" sortBy="cellColor" ref="C1:C1003" dxfId="1"/>
    </sortState>
  </autoFilter>
  <mergeCells count="7">
    <mergeCell ref="A2:A43"/>
    <mergeCell ref="B2:B8"/>
    <mergeCell ref="B9:B15"/>
    <mergeCell ref="B16:B22"/>
    <mergeCell ref="B23:B29"/>
    <mergeCell ref="B30:B36"/>
    <mergeCell ref="B37:B43"/>
  </mergeCells>
  <conditionalFormatting sqref="C2:C43">
    <cfRule type="timePeriod" dxfId="2" priority="3" timePeriod="today"/>
  </conditionalFormatting>
  <conditionalFormatting sqref="E2:E32 E34:E43">
    <cfRule type="expression" dxfId="3" priority="4">
      <formula>AND(MONTH($A$1)=MONTH(C2),OR(AND(MOD(WEEKNUM(C2,2),2),ISERROR(MATCH(WEEKDAY(C2,2),$Q$5:$Q$11,0))),AND(MOD(WEEKNUM(C2,2),2)=0,ISERROR(MATCH(WEEKDAY(C2,2),$R$5:$R$11,0)))))</formula>
    </cfRule>
  </conditionalFormatting>
  <conditionalFormatting sqref="F2:F32 F34:F43">
    <cfRule type="expression" dxfId="3" priority="5">
      <formula>AND(MONTH($A$1)=MONTH(C2),OR(AND(MOD(WEEKNUM(C2,2),2),NOT(ISERROR(MATCH(WEEKDAY(C2,2),$Q$5:$Q$11,0)))),AND(MOD(WEEKNUM(C2,2),2)=0,NOT(ISERROR(MATCH(WEEKDAY(C2,2),$R$5:$R$11,0))))))</formula>
    </cfRule>
  </conditionalFormatting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5"/>
    <col customWidth="1" min="3" max="3" width="2.88"/>
    <col customWidth="1" min="4" max="4" width="7.5"/>
    <col customWidth="1" min="6" max="6" width="20.13"/>
    <col customWidth="1" min="7" max="7" width="17.63"/>
    <col customWidth="1" min="8" max="8" width="13.38"/>
    <col customWidth="1" min="9" max="9" width="22.63"/>
    <col customWidth="1" min="10" max="10" width="25.38"/>
    <col customWidth="1" min="14" max="14" width="23.63"/>
    <col customWidth="1" min="16" max="16" width="14.25"/>
  </cols>
  <sheetData>
    <row r="1">
      <c r="A1" s="11">
        <v>45537.0</v>
      </c>
      <c r="B1" s="12" t="s">
        <v>13</v>
      </c>
      <c r="C1" s="13"/>
      <c r="D1" s="14"/>
      <c r="E1" s="15" t="s">
        <v>5</v>
      </c>
      <c r="F1" s="15" t="s">
        <v>14</v>
      </c>
      <c r="G1" s="12"/>
      <c r="H1" s="12"/>
      <c r="I1" s="12" t="s">
        <v>15</v>
      </c>
      <c r="J1" s="12" t="s">
        <v>16</v>
      </c>
    </row>
    <row r="2">
      <c r="A2" s="16">
        <f>A1</f>
        <v>45537</v>
      </c>
      <c r="B2" s="17">
        <f>WEEKNUM(A1)</f>
        <v>36</v>
      </c>
      <c r="C2" s="18">
        <f>A1-WEEKDAY(A1,2)+1</f>
        <v>45537</v>
      </c>
      <c r="D2" s="19">
        <f t="shared" ref="D2:D43" si="1">C2</f>
        <v>45537</v>
      </c>
      <c r="F2" s="20"/>
      <c r="N2" s="21"/>
    </row>
    <row r="3">
      <c r="A3" s="22"/>
      <c r="B3" s="23"/>
      <c r="C3" s="18">
        <f t="shared" ref="C3:C43" si="2">C2+1</f>
        <v>45538</v>
      </c>
      <c r="D3" s="24">
        <f t="shared" si="1"/>
        <v>45538</v>
      </c>
      <c r="F3" s="25"/>
      <c r="N3" s="21"/>
    </row>
    <row r="4">
      <c r="A4" s="22"/>
      <c r="B4" s="23"/>
      <c r="C4" s="18">
        <f t="shared" si="2"/>
        <v>45539</v>
      </c>
      <c r="D4" s="24">
        <f t="shared" si="1"/>
        <v>45539</v>
      </c>
      <c r="F4" s="25"/>
      <c r="N4" s="21"/>
    </row>
    <row r="5">
      <c r="A5" s="22"/>
      <c r="B5" s="23"/>
      <c r="C5" s="18">
        <f t="shared" si="2"/>
        <v>45540</v>
      </c>
      <c r="D5" s="24">
        <f t="shared" si="1"/>
        <v>45540</v>
      </c>
      <c r="F5" s="21" t="s">
        <v>26</v>
      </c>
      <c r="M5" s="26"/>
      <c r="N5" s="21" t="s">
        <v>17</v>
      </c>
      <c r="Q5" s="27"/>
      <c r="R5" s="27">
        <v>1.0</v>
      </c>
    </row>
    <row r="6">
      <c r="A6" s="22"/>
      <c r="B6" s="23"/>
      <c r="C6" s="18">
        <f t="shared" si="2"/>
        <v>45541</v>
      </c>
      <c r="D6" s="24">
        <f t="shared" si="1"/>
        <v>45541</v>
      </c>
      <c r="F6" s="25"/>
      <c r="M6" s="28"/>
      <c r="N6" s="21" t="s">
        <v>18</v>
      </c>
      <c r="Q6" s="27"/>
      <c r="R6" s="27">
        <v>2.0</v>
      </c>
    </row>
    <row r="7">
      <c r="A7" s="22"/>
      <c r="B7" s="23"/>
      <c r="C7" s="18">
        <f t="shared" si="2"/>
        <v>45542</v>
      </c>
      <c r="D7" s="24">
        <f t="shared" si="1"/>
        <v>45542</v>
      </c>
      <c r="F7" s="25"/>
      <c r="Q7" s="29"/>
      <c r="R7" s="27">
        <v>3.0</v>
      </c>
    </row>
    <row r="8">
      <c r="A8" s="22"/>
      <c r="B8" s="30"/>
      <c r="C8" s="18">
        <f t="shared" si="2"/>
        <v>45543</v>
      </c>
      <c r="D8" s="24">
        <f t="shared" si="1"/>
        <v>45543</v>
      </c>
      <c r="E8" s="31"/>
      <c r="F8" s="31"/>
      <c r="G8" s="32"/>
      <c r="H8" s="32"/>
      <c r="I8" s="32"/>
      <c r="J8" s="31"/>
      <c r="M8" s="33"/>
      <c r="N8" s="21" t="s">
        <v>19</v>
      </c>
      <c r="Q8" s="29"/>
      <c r="R8" s="27">
        <v>4.0</v>
      </c>
    </row>
    <row r="9">
      <c r="A9" s="22"/>
      <c r="B9" s="34">
        <f>B2+1</f>
        <v>37</v>
      </c>
      <c r="C9" s="35">
        <f t="shared" si="2"/>
        <v>45544</v>
      </c>
      <c r="D9" s="36">
        <f t="shared" si="1"/>
        <v>45544</v>
      </c>
      <c r="E9" s="25"/>
      <c r="F9" s="20"/>
      <c r="G9" s="20"/>
      <c r="H9" s="20"/>
      <c r="I9" s="20"/>
      <c r="J9" s="20"/>
      <c r="M9" s="37"/>
      <c r="N9" s="21" t="s">
        <v>20</v>
      </c>
      <c r="Q9" s="29"/>
      <c r="R9" s="27">
        <v>5.0</v>
      </c>
    </row>
    <row r="10">
      <c r="A10" s="22"/>
      <c r="C10" s="18">
        <f t="shared" si="2"/>
        <v>45545</v>
      </c>
      <c r="D10" s="24">
        <f t="shared" si="1"/>
        <v>45545</v>
      </c>
      <c r="E10" s="25"/>
      <c r="Q10" s="29"/>
      <c r="R10" s="27">
        <v>6.0</v>
      </c>
    </row>
    <row r="11">
      <c r="A11" s="22"/>
      <c r="C11" s="18">
        <f t="shared" si="2"/>
        <v>45546</v>
      </c>
      <c r="D11" s="24">
        <f t="shared" si="1"/>
        <v>45546</v>
      </c>
      <c r="E11" s="25"/>
      <c r="Q11" s="29"/>
      <c r="R11" s="27">
        <v>7.0</v>
      </c>
    </row>
    <row r="12">
      <c r="A12" s="22"/>
      <c r="C12" s="18">
        <f t="shared" si="2"/>
        <v>45547</v>
      </c>
      <c r="D12" s="24">
        <f t="shared" si="1"/>
        <v>45547</v>
      </c>
      <c r="E12" s="21" t="s">
        <v>26</v>
      </c>
      <c r="K12" s="38"/>
    </row>
    <row r="13">
      <c r="A13" s="22"/>
      <c r="C13" s="18">
        <f t="shared" si="2"/>
        <v>45548</v>
      </c>
      <c r="D13" s="24">
        <f t="shared" si="1"/>
        <v>45548</v>
      </c>
      <c r="E13" s="21" t="s">
        <v>26</v>
      </c>
    </row>
    <row r="14">
      <c r="A14" s="22"/>
      <c r="C14" s="18">
        <f t="shared" si="2"/>
        <v>45549</v>
      </c>
      <c r="D14" s="24">
        <f t="shared" si="1"/>
        <v>45549</v>
      </c>
      <c r="E14" s="25"/>
    </row>
    <row r="15">
      <c r="A15" s="22"/>
      <c r="B15" s="39"/>
      <c r="C15" s="18">
        <f t="shared" si="2"/>
        <v>45550</v>
      </c>
      <c r="D15" s="24">
        <f t="shared" si="1"/>
        <v>45550</v>
      </c>
      <c r="E15" s="31"/>
      <c r="F15" s="31"/>
      <c r="G15" s="31"/>
      <c r="H15" s="31"/>
      <c r="I15" s="31"/>
      <c r="J15" s="31"/>
    </row>
    <row r="16">
      <c r="A16" s="22"/>
      <c r="B16" s="34">
        <f>B9+1</f>
        <v>38</v>
      </c>
      <c r="C16" s="35">
        <f t="shared" si="2"/>
        <v>45551</v>
      </c>
      <c r="D16" s="36">
        <f t="shared" si="1"/>
        <v>45551</v>
      </c>
      <c r="F16" s="20"/>
      <c r="I16" s="20"/>
      <c r="J16" s="20"/>
      <c r="N16" s="40"/>
      <c r="O16" s="41"/>
      <c r="P16" s="41"/>
      <c r="R16" s="41"/>
    </row>
    <row r="17">
      <c r="A17" s="22"/>
      <c r="C17" s="18">
        <f t="shared" si="2"/>
        <v>45552</v>
      </c>
      <c r="D17" s="24">
        <f t="shared" si="1"/>
        <v>45552</v>
      </c>
      <c r="F17" s="21" t="s">
        <v>26</v>
      </c>
      <c r="N17" s="40"/>
      <c r="O17" s="41"/>
      <c r="P17" s="41"/>
      <c r="R17" s="41"/>
    </row>
    <row r="18">
      <c r="A18" s="22"/>
      <c r="C18" s="18">
        <f t="shared" si="2"/>
        <v>45553</v>
      </c>
      <c r="D18" s="24">
        <f t="shared" si="1"/>
        <v>45553</v>
      </c>
      <c r="F18" s="21" t="s">
        <v>26</v>
      </c>
      <c r="N18" s="40"/>
      <c r="O18" s="41"/>
      <c r="P18" s="41"/>
      <c r="R18" s="41"/>
    </row>
    <row r="19">
      <c r="A19" s="22"/>
      <c r="C19" s="18">
        <f t="shared" si="2"/>
        <v>45554</v>
      </c>
      <c r="D19" s="24">
        <f t="shared" si="1"/>
        <v>45554</v>
      </c>
      <c r="F19" s="21" t="s">
        <v>205</v>
      </c>
      <c r="G19" s="21" t="s">
        <v>206</v>
      </c>
      <c r="N19" s="40"/>
      <c r="O19" s="41"/>
      <c r="P19" s="41"/>
      <c r="R19" s="41"/>
    </row>
    <row r="20">
      <c r="A20" s="22"/>
      <c r="C20" s="18">
        <f t="shared" si="2"/>
        <v>45555</v>
      </c>
      <c r="D20" s="24">
        <f t="shared" si="1"/>
        <v>45555</v>
      </c>
      <c r="F20" s="25"/>
      <c r="N20" s="40"/>
      <c r="O20" s="41"/>
      <c r="P20" s="41"/>
      <c r="R20" s="41"/>
    </row>
    <row r="21">
      <c r="A21" s="22"/>
      <c r="C21" s="18">
        <f t="shared" si="2"/>
        <v>45556</v>
      </c>
      <c r="D21" s="24">
        <f t="shared" si="1"/>
        <v>45556</v>
      </c>
      <c r="F21" s="25"/>
      <c r="N21" s="40"/>
      <c r="O21" s="41"/>
      <c r="P21" s="41"/>
      <c r="R21" s="41"/>
    </row>
    <row r="22">
      <c r="A22" s="22"/>
      <c r="B22" s="39"/>
      <c r="C22" s="18">
        <f t="shared" si="2"/>
        <v>45557</v>
      </c>
      <c r="D22" s="24">
        <f t="shared" si="1"/>
        <v>45557</v>
      </c>
      <c r="E22" s="31"/>
      <c r="F22" s="31"/>
      <c r="G22" s="31"/>
      <c r="H22" s="31"/>
      <c r="I22" s="32"/>
      <c r="J22" s="31"/>
      <c r="N22" s="40"/>
      <c r="O22" s="41"/>
      <c r="P22" s="41"/>
      <c r="R22" s="41"/>
    </row>
    <row r="23">
      <c r="A23" s="22"/>
      <c r="B23" s="34">
        <f>B16+1</f>
        <v>39</v>
      </c>
      <c r="C23" s="35">
        <f t="shared" si="2"/>
        <v>45558</v>
      </c>
      <c r="D23" s="36">
        <f t="shared" si="1"/>
        <v>45558</v>
      </c>
      <c r="E23" s="25"/>
      <c r="F23" s="20"/>
      <c r="G23" s="20"/>
      <c r="H23" s="20"/>
      <c r="J23" s="20"/>
      <c r="N23" s="40"/>
      <c r="O23" s="41"/>
      <c r="P23" s="41"/>
      <c r="R23" s="41"/>
    </row>
    <row r="24">
      <c r="A24" s="22"/>
      <c r="C24" s="18">
        <f t="shared" si="2"/>
        <v>45559</v>
      </c>
      <c r="D24" s="24">
        <f t="shared" si="1"/>
        <v>45559</v>
      </c>
      <c r="E24" s="21" t="s">
        <v>26</v>
      </c>
      <c r="N24" s="40"/>
      <c r="O24" s="41"/>
      <c r="P24" s="41"/>
      <c r="R24" s="41"/>
    </row>
    <row r="25">
      <c r="A25" s="22"/>
      <c r="C25" s="18">
        <f t="shared" si="2"/>
        <v>45560</v>
      </c>
      <c r="D25" s="24">
        <f t="shared" si="1"/>
        <v>45560</v>
      </c>
      <c r="E25" s="21" t="s">
        <v>26</v>
      </c>
      <c r="N25" s="40"/>
      <c r="O25" s="41"/>
      <c r="P25" s="41"/>
      <c r="R25" s="41"/>
    </row>
    <row r="26">
      <c r="A26" s="22"/>
      <c r="C26" s="18">
        <f t="shared" si="2"/>
        <v>45561</v>
      </c>
      <c r="D26" s="24">
        <f t="shared" si="1"/>
        <v>45561</v>
      </c>
      <c r="E26" s="21" t="s">
        <v>26</v>
      </c>
      <c r="N26" s="40"/>
      <c r="O26" s="41"/>
      <c r="P26" s="41"/>
      <c r="R26" s="41"/>
    </row>
    <row r="27">
      <c r="A27" s="22"/>
      <c r="C27" s="18">
        <f t="shared" si="2"/>
        <v>45562</v>
      </c>
      <c r="D27" s="24">
        <f t="shared" si="1"/>
        <v>45562</v>
      </c>
      <c r="E27" s="25"/>
      <c r="N27" s="40"/>
      <c r="O27" s="41"/>
      <c r="P27" s="41"/>
      <c r="R27" s="41"/>
    </row>
    <row r="28">
      <c r="A28" s="22"/>
      <c r="C28" s="18">
        <f t="shared" si="2"/>
        <v>45563</v>
      </c>
      <c r="D28" s="24">
        <f t="shared" si="1"/>
        <v>45563</v>
      </c>
      <c r="E28" s="25"/>
      <c r="N28" s="40"/>
      <c r="O28" s="41"/>
      <c r="P28" s="41"/>
      <c r="R28" s="41"/>
    </row>
    <row r="29">
      <c r="A29" s="22"/>
      <c r="B29" s="39"/>
      <c r="C29" s="18">
        <f t="shared" si="2"/>
        <v>45564</v>
      </c>
      <c r="D29" s="24">
        <f t="shared" si="1"/>
        <v>45564</v>
      </c>
      <c r="E29" s="31"/>
      <c r="F29" s="31"/>
      <c r="G29" s="31"/>
      <c r="H29" s="31"/>
      <c r="I29" s="32"/>
      <c r="J29" s="31"/>
      <c r="N29" s="40"/>
      <c r="O29" s="41"/>
      <c r="P29" s="41"/>
      <c r="R29" s="41"/>
    </row>
    <row r="30">
      <c r="A30" s="22"/>
      <c r="B30" s="34">
        <f>B23+1</f>
        <v>40</v>
      </c>
      <c r="C30" s="35">
        <f t="shared" si="2"/>
        <v>45565</v>
      </c>
      <c r="D30" s="36">
        <f t="shared" si="1"/>
        <v>45565</v>
      </c>
      <c r="F30" s="20"/>
      <c r="G30" s="20"/>
      <c r="J30" s="20"/>
      <c r="N30" s="40"/>
      <c r="O30" s="41"/>
      <c r="P30" s="41"/>
      <c r="R30" s="41"/>
    </row>
    <row r="31">
      <c r="A31" s="22"/>
      <c r="C31" s="18">
        <f t="shared" si="2"/>
        <v>45566</v>
      </c>
      <c r="D31" s="24">
        <f t="shared" si="1"/>
        <v>45566</v>
      </c>
      <c r="N31" s="40"/>
      <c r="O31" s="41"/>
      <c r="P31" s="41"/>
      <c r="R31" s="41"/>
    </row>
    <row r="32">
      <c r="A32" s="22"/>
      <c r="C32" s="18">
        <f t="shared" si="2"/>
        <v>45567</v>
      </c>
      <c r="D32" s="24">
        <f t="shared" si="1"/>
        <v>45567</v>
      </c>
      <c r="N32" s="40"/>
      <c r="O32" s="41"/>
      <c r="P32" s="41"/>
      <c r="R32" s="41"/>
    </row>
    <row r="33">
      <c r="A33" s="22"/>
      <c r="C33" s="18">
        <f t="shared" si="2"/>
        <v>45568</v>
      </c>
      <c r="D33" s="24">
        <f t="shared" si="1"/>
        <v>45568</v>
      </c>
      <c r="N33" s="40"/>
      <c r="O33" s="41"/>
      <c r="P33" s="41"/>
      <c r="R33" s="41"/>
    </row>
    <row r="34">
      <c r="A34" s="22"/>
      <c r="C34" s="18">
        <f t="shared" si="2"/>
        <v>45569</v>
      </c>
      <c r="D34" s="24">
        <f t="shared" si="1"/>
        <v>45569</v>
      </c>
      <c r="N34" s="40"/>
      <c r="O34" s="41"/>
      <c r="P34" s="41"/>
      <c r="R34" s="41"/>
    </row>
    <row r="35">
      <c r="A35" s="22"/>
      <c r="C35" s="18">
        <f t="shared" si="2"/>
        <v>45570</v>
      </c>
      <c r="D35" s="24">
        <f t="shared" si="1"/>
        <v>45570</v>
      </c>
      <c r="N35" s="40"/>
      <c r="O35" s="41"/>
      <c r="P35" s="41"/>
      <c r="R35" s="41"/>
    </row>
    <row r="36">
      <c r="A36" s="22"/>
      <c r="B36" s="39"/>
      <c r="C36" s="18">
        <f t="shared" si="2"/>
        <v>45571</v>
      </c>
      <c r="D36" s="24">
        <f t="shared" si="1"/>
        <v>45571</v>
      </c>
      <c r="E36" s="31"/>
      <c r="F36" s="31"/>
      <c r="N36" s="40"/>
      <c r="O36" s="41"/>
      <c r="P36" s="41"/>
      <c r="R36" s="41"/>
    </row>
    <row r="37">
      <c r="A37" s="22"/>
      <c r="B37" s="34">
        <f>B30+1</f>
        <v>41</v>
      </c>
      <c r="C37" s="35">
        <f t="shared" si="2"/>
        <v>45572</v>
      </c>
      <c r="D37" s="36">
        <f t="shared" si="1"/>
        <v>45572</v>
      </c>
      <c r="F37" s="20"/>
      <c r="G37" s="20"/>
      <c r="H37" s="20"/>
      <c r="I37" s="20"/>
      <c r="J37" s="20"/>
    </row>
    <row r="38">
      <c r="A38" s="22"/>
      <c r="C38" s="18">
        <f t="shared" si="2"/>
        <v>45573</v>
      </c>
      <c r="D38" s="24">
        <f t="shared" si="1"/>
        <v>45573</v>
      </c>
    </row>
    <row r="39">
      <c r="A39" s="22"/>
      <c r="C39" s="18">
        <f t="shared" si="2"/>
        <v>45574</v>
      </c>
      <c r="D39" s="24">
        <f t="shared" si="1"/>
        <v>45574</v>
      </c>
    </row>
    <row r="40">
      <c r="A40" s="22"/>
      <c r="C40" s="18">
        <f t="shared" si="2"/>
        <v>45575</v>
      </c>
      <c r="D40" s="24">
        <f t="shared" si="1"/>
        <v>45575</v>
      </c>
    </row>
    <row r="41">
      <c r="A41" s="22"/>
      <c r="C41" s="18">
        <f t="shared" si="2"/>
        <v>45576</v>
      </c>
      <c r="D41" s="24">
        <f t="shared" si="1"/>
        <v>45576</v>
      </c>
    </row>
    <row r="42">
      <c r="A42" s="22"/>
      <c r="C42" s="18">
        <f t="shared" si="2"/>
        <v>45577</v>
      </c>
      <c r="D42" s="24">
        <f t="shared" si="1"/>
        <v>45577</v>
      </c>
    </row>
    <row r="43">
      <c r="A43" s="22"/>
      <c r="B43" s="39"/>
      <c r="C43" s="42">
        <f t="shared" si="2"/>
        <v>45578</v>
      </c>
      <c r="D43" s="43">
        <f t="shared" si="1"/>
        <v>45578</v>
      </c>
      <c r="E43" s="31"/>
      <c r="F43" s="31"/>
      <c r="G43" s="31"/>
      <c r="H43" s="31"/>
      <c r="I43" s="31"/>
      <c r="J43" s="31"/>
    </row>
  </sheetData>
  <autoFilter ref="$C$1:$C$1003">
    <sortState ref="C1:C1003">
      <sortCondition descending="1" sortBy="cellColor" ref="C1:C1003" dxfId="1"/>
    </sortState>
  </autoFilter>
  <mergeCells count="7">
    <mergeCell ref="A2:A43"/>
    <mergeCell ref="B2:B8"/>
    <mergeCell ref="B9:B15"/>
    <mergeCell ref="B16:B22"/>
    <mergeCell ref="B23:B29"/>
    <mergeCell ref="B30:B36"/>
    <mergeCell ref="B37:B43"/>
  </mergeCells>
  <conditionalFormatting sqref="C2:C43">
    <cfRule type="timePeriod" dxfId="2" priority="3" timePeriod="today"/>
  </conditionalFormatting>
  <conditionalFormatting sqref="E2:E43">
    <cfRule type="expression" dxfId="3" priority="4">
      <formula>AND(MONTH($A$1)=MONTH(C2),OR(AND(MOD(WEEKNUM(C2,2),2),ISERROR(MATCH(WEEKDAY(C2,2),$Q$5:$Q$11,0))),AND(MOD(WEEKNUM(C2,2),2)=0,ISERROR(MATCH(WEEKDAY(C2,2),$R$5:$R$11,0)))))</formula>
    </cfRule>
  </conditionalFormatting>
  <conditionalFormatting sqref="F2:F43">
    <cfRule type="expression" dxfId="3" priority="5">
      <formula>AND(MONTH($A$1)=MONTH(C2),OR(AND(MOD(WEEKNUM(C2,2),2),NOT(ISERROR(MATCH(WEEKDAY(C2,2),$Q$5:$Q$11,0)))),AND(MOD(WEEKNUM(C2,2),2)=0,NOT(ISERROR(MATCH(WEEKDAY(C2,2),$R$5:$R$11,0))))))</formula>
    </cfRule>
  </conditionalFormatting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5"/>
    <col customWidth="1" min="3" max="3" width="2.88"/>
    <col customWidth="1" min="4" max="4" width="7.5"/>
    <col customWidth="1" min="5" max="5" width="25.13"/>
    <col customWidth="1" min="7" max="8" width="13.38"/>
    <col customWidth="1" min="9" max="9" width="22.63"/>
    <col customWidth="1" min="10" max="10" width="25.38"/>
    <col customWidth="1" min="14" max="14" width="23.63"/>
    <col customWidth="1" min="16" max="16" width="14.25"/>
  </cols>
  <sheetData>
    <row r="1">
      <c r="A1" s="11">
        <v>45566.0</v>
      </c>
      <c r="B1" s="12" t="s">
        <v>13</v>
      </c>
      <c r="C1" s="13"/>
      <c r="D1" s="14"/>
      <c r="E1" s="15" t="s">
        <v>5</v>
      </c>
      <c r="F1" s="15" t="s">
        <v>14</v>
      </c>
      <c r="G1" s="12"/>
      <c r="H1" s="12"/>
      <c r="I1" s="12" t="s">
        <v>15</v>
      </c>
      <c r="J1" s="12" t="s">
        <v>16</v>
      </c>
    </row>
    <row r="2">
      <c r="A2" s="16">
        <f>A1</f>
        <v>45566</v>
      </c>
      <c r="B2" s="17">
        <f>WEEKNUM(A1)</f>
        <v>40</v>
      </c>
      <c r="C2" s="18">
        <f>A1-WEEKDAY(A1,2)+1</f>
        <v>45565</v>
      </c>
      <c r="D2" s="19">
        <f t="shared" ref="D2:D43" si="1">C2</f>
        <v>45565</v>
      </c>
      <c r="F2" s="20"/>
      <c r="N2" s="21"/>
    </row>
    <row r="3">
      <c r="A3" s="22"/>
      <c r="B3" s="23"/>
      <c r="C3" s="18">
        <f t="shared" ref="C3:C43" si="2">C2+1</f>
        <v>45566</v>
      </c>
      <c r="D3" s="24">
        <f t="shared" si="1"/>
        <v>45566</v>
      </c>
      <c r="F3" s="25"/>
      <c r="N3" s="21"/>
    </row>
    <row r="4">
      <c r="A4" s="22"/>
      <c r="B4" s="23"/>
      <c r="C4" s="18">
        <f t="shared" si="2"/>
        <v>45567</v>
      </c>
      <c r="D4" s="24">
        <f t="shared" si="1"/>
        <v>45567</v>
      </c>
      <c r="F4" s="25"/>
      <c r="N4" s="21"/>
    </row>
    <row r="5">
      <c r="A5" s="22"/>
      <c r="B5" s="23"/>
      <c r="C5" s="18">
        <f t="shared" si="2"/>
        <v>45568</v>
      </c>
      <c r="D5" s="24">
        <f t="shared" si="1"/>
        <v>45568</v>
      </c>
      <c r="F5" s="25"/>
      <c r="M5" s="26"/>
      <c r="N5" s="21" t="s">
        <v>17</v>
      </c>
      <c r="Q5" s="27"/>
      <c r="R5" s="27">
        <v>1.0</v>
      </c>
    </row>
    <row r="6">
      <c r="A6" s="22"/>
      <c r="B6" s="23"/>
      <c r="C6" s="18">
        <f t="shared" si="2"/>
        <v>45569</v>
      </c>
      <c r="D6" s="24">
        <f t="shared" si="1"/>
        <v>45569</v>
      </c>
      <c r="F6" s="25"/>
      <c r="M6" s="28"/>
      <c r="N6" s="21" t="s">
        <v>18</v>
      </c>
      <c r="Q6" s="27"/>
      <c r="R6" s="27">
        <v>2.0</v>
      </c>
    </row>
    <row r="7">
      <c r="A7" s="22"/>
      <c r="B7" s="23"/>
      <c r="C7" s="18">
        <f t="shared" si="2"/>
        <v>45570</v>
      </c>
      <c r="D7" s="24">
        <f t="shared" si="1"/>
        <v>45570</v>
      </c>
      <c r="F7" s="25"/>
      <c r="Q7" s="29"/>
      <c r="R7" s="27">
        <v>3.0</v>
      </c>
    </row>
    <row r="8">
      <c r="A8" s="22"/>
      <c r="B8" s="30"/>
      <c r="C8" s="18">
        <f t="shared" si="2"/>
        <v>45571</v>
      </c>
      <c r="D8" s="24">
        <f t="shared" si="1"/>
        <v>45571</v>
      </c>
      <c r="E8" s="31"/>
      <c r="F8" s="31"/>
      <c r="G8" s="32"/>
      <c r="H8" s="32"/>
      <c r="I8" s="32"/>
      <c r="J8" s="31"/>
      <c r="M8" s="33"/>
      <c r="N8" s="21" t="s">
        <v>19</v>
      </c>
      <c r="Q8" s="29"/>
      <c r="R8" s="27">
        <v>4.0</v>
      </c>
    </row>
    <row r="9">
      <c r="A9" s="22"/>
      <c r="B9" s="34">
        <f>B2+1</f>
        <v>41</v>
      </c>
      <c r="C9" s="35">
        <f t="shared" si="2"/>
        <v>45572</v>
      </c>
      <c r="D9" s="36">
        <f t="shared" si="1"/>
        <v>45572</v>
      </c>
      <c r="E9" s="25"/>
      <c r="F9" s="20"/>
      <c r="G9" s="20"/>
      <c r="H9" s="20"/>
      <c r="I9" s="20"/>
      <c r="J9" s="20"/>
      <c r="M9" s="37"/>
      <c r="N9" s="21" t="s">
        <v>20</v>
      </c>
      <c r="Q9" s="29"/>
      <c r="R9" s="27">
        <v>5.0</v>
      </c>
    </row>
    <row r="10">
      <c r="A10" s="22"/>
      <c r="C10" s="18">
        <f t="shared" si="2"/>
        <v>45573</v>
      </c>
      <c r="D10" s="24">
        <f t="shared" si="1"/>
        <v>45573</v>
      </c>
      <c r="E10" s="25"/>
      <c r="Q10" s="29"/>
      <c r="R10" s="27">
        <v>6.0</v>
      </c>
    </row>
    <row r="11">
      <c r="A11" s="22"/>
      <c r="C11" s="18">
        <f t="shared" si="2"/>
        <v>45574</v>
      </c>
      <c r="D11" s="24">
        <f t="shared" si="1"/>
        <v>45574</v>
      </c>
      <c r="E11" s="25"/>
      <c r="Q11" s="29"/>
      <c r="R11" s="27">
        <v>7.0</v>
      </c>
    </row>
    <row r="12">
      <c r="A12" s="22"/>
      <c r="C12" s="18">
        <f t="shared" si="2"/>
        <v>45575</v>
      </c>
      <c r="D12" s="24">
        <f t="shared" si="1"/>
        <v>45575</v>
      </c>
      <c r="E12" s="25"/>
      <c r="K12" s="38"/>
    </row>
    <row r="13">
      <c r="A13" s="22"/>
      <c r="C13" s="18">
        <f t="shared" si="2"/>
        <v>45576</v>
      </c>
      <c r="D13" s="24">
        <f t="shared" si="1"/>
        <v>45576</v>
      </c>
      <c r="E13" s="25"/>
    </row>
    <row r="14">
      <c r="A14" s="22"/>
      <c r="C14" s="18">
        <f t="shared" si="2"/>
        <v>45577</v>
      </c>
      <c r="D14" s="24">
        <f t="shared" si="1"/>
        <v>45577</v>
      </c>
      <c r="E14" s="25"/>
    </row>
    <row r="15">
      <c r="A15" s="22"/>
      <c r="B15" s="39"/>
      <c r="C15" s="18">
        <f t="shared" si="2"/>
        <v>45578</v>
      </c>
      <c r="D15" s="24">
        <f t="shared" si="1"/>
        <v>45578</v>
      </c>
      <c r="E15" s="31"/>
      <c r="F15" s="31"/>
      <c r="G15" s="31"/>
      <c r="H15" s="31"/>
      <c r="I15" s="31"/>
      <c r="J15" s="31"/>
    </row>
    <row r="16">
      <c r="A16" s="22"/>
      <c r="B16" s="34">
        <f>B9+1</f>
        <v>42</v>
      </c>
      <c r="C16" s="35">
        <f t="shared" si="2"/>
        <v>45579</v>
      </c>
      <c r="D16" s="36">
        <f t="shared" si="1"/>
        <v>45579</v>
      </c>
      <c r="F16" s="20"/>
      <c r="I16" s="20"/>
      <c r="J16" s="20"/>
      <c r="N16" s="40"/>
      <c r="O16" s="41"/>
      <c r="P16" s="41"/>
      <c r="R16" s="41"/>
    </row>
    <row r="17">
      <c r="A17" s="22"/>
      <c r="C17" s="18">
        <f t="shared" si="2"/>
        <v>45580</v>
      </c>
      <c r="D17" s="24">
        <f t="shared" si="1"/>
        <v>45580</v>
      </c>
      <c r="F17" s="25"/>
      <c r="N17" s="40"/>
      <c r="O17" s="41"/>
      <c r="P17" s="41"/>
      <c r="R17" s="41"/>
    </row>
    <row r="18">
      <c r="A18" s="22"/>
      <c r="C18" s="18">
        <f t="shared" si="2"/>
        <v>45581</v>
      </c>
      <c r="D18" s="24">
        <f t="shared" si="1"/>
        <v>45581</v>
      </c>
      <c r="F18" s="25"/>
      <c r="N18" s="40"/>
      <c r="O18" s="41"/>
      <c r="P18" s="41"/>
      <c r="R18" s="41"/>
    </row>
    <row r="19">
      <c r="A19" s="22"/>
      <c r="C19" s="18">
        <f t="shared" si="2"/>
        <v>45582</v>
      </c>
      <c r="D19" s="24">
        <f t="shared" si="1"/>
        <v>45582</v>
      </c>
      <c r="F19" s="25"/>
      <c r="G19" s="21"/>
      <c r="N19" s="40"/>
      <c r="O19" s="41"/>
      <c r="P19" s="41"/>
      <c r="R19" s="41"/>
    </row>
    <row r="20">
      <c r="A20" s="22"/>
      <c r="C20" s="18">
        <f t="shared" si="2"/>
        <v>45583</v>
      </c>
      <c r="D20" s="24">
        <f t="shared" si="1"/>
        <v>45583</v>
      </c>
      <c r="F20" s="25"/>
      <c r="N20" s="40"/>
      <c r="O20" s="41"/>
      <c r="P20" s="41"/>
      <c r="R20" s="41"/>
    </row>
    <row r="21">
      <c r="A21" s="22"/>
      <c r="C21" s="18">
        <f t="shared" si="2"/>
        <v>45584</v>
      </c>
      <c r="D21" s="24">
        <f t="shared" si="1"/>
        <v>45584</v>
      </c>
      <c r="F21" s="25"/>
      <c r="N21" s="40"/>
      <c r="O21" s="41"/>
      <c r="P21" s="41"/>
      <c r="R21" s="41"/>
    </row>
    <row r="22">
      <c r="A22" s="22"/>
      <c r="B22" s="39"/>
      <c r="C22" s="18">
        <f t="shared" si="2"/>
        <v>45585</v>
      </c>
      <c r="D22" s="24">
        <f t="shared" si="1"/>
        <v>45585</v>
      </c>
      <c r="E22" s="31"/>
      <c r="F22" s="31"/>
      <c r="G22" s="31"/>
      <c r="H22" s="31"/>
      <c r="I22" s="32"/>
      <c r="J22" s="31"/>
      <c r="N22" s="40"/>
      <c r="O22" s="41"/>
      <c r="P22" s="41"/>
      <c r="R22" s="41"/>
    </row>
    <row r="23">
      <c r="A23" s="22"/>
      <c r="B23" s="34">
        <f>B16+1</f>
        <v>43</v>
      </c>
      <c r="C23" s="35">
        <f t="shared" si="2"/>
        <v>45586</v>
      </c>
      <c r="D23" s="36">
        <f t="shared" si="1"/>
        <v>45586</v>
      </c>
      <c r="E23" s="25"/>
      <c r="F23" s="20"/>
      <c r="G23" s="20"/>
      <c r="H23" s="20"/>
      <c r="J23" s="20"/>
      <c r="N23" s="40"/>
      <c r="O23" s="41"/>
      <c r="P23" s="41"/>
      <c r="R23" s="41"/>
    </row>
    <row r="24">
      <c r="A24" s="22"/>
      <c r="C24" s="18">
        <f t="shared" si="2"/>
        <v>45587</v>
      </c>
      <c r="D24" s="24">
        <f t="shared" si="1"/>
        <v>45587</v>
      </c>
      <c r="E24" s="25"/>
      <c r="N24" s="40"/>
      <c r="O24" s="41"/>
      <c r="P24" s="41"/>
      <c r="R24" s="41"/>
    </row>
    <row r="25">
      <c r="A25" s="22"/>
      <c r="C25" s="18">
        <f t="shared" si="2"/>
        <v>45588</v>
      </c>
      <c r="D25" s="24">
        <f t="shared" si="1"/>
        <v>45588</v>
      </c>
      <c r="E25" s="25"/>
      <c r="N25" s="40"/>
      <c r="O25" s="41"/>
      <c r="P25" s="41"/>
      <c r="R25" s="41"/>
    </row>
    <row r="26">
      <c r="A26" s="22"/>
      <c r="C26" s="18">
        <f t="shared" si="2"/>
        <v>45589</v>
      </c>
      <c r="D26" s="24">
        <f t="shared" si="1"/>
        <v>45589</v>
      </c>
      <c r="E26" s="21" t="s">
        <v>205</v>
      </c>
      <c r="N26" s="40"/>
      <c r="O26" s="41"/>
      <c r="P26" s="41"/>
      <c r="R26" s="41"/>
    </row>
    <row r="27">
      <c r="A27" s="22"/>
      <c r="C27" s="18">
        <f t="shared" si="2"/>
        <v>45590</v>
      </c>
      <c r="D27" s="24">
        <f t="shared" si="1"/>
        <v>45590</v>
      </c>
      <c r="E27" s="21" t="s">
        <v>207</v>
      </c>
      <c r="N27" s="40"/>
      <c r="O27" s="41"/>
      <c r="P27" s="41"/>
      <c r="R27" s="41"/>
    </row>
    <row r="28">
      <c r="A28" s="22"/>
      <c r="C28" s="18">
        <f t="shared" si="2"/>
        <v>45591</v>
      </c>
      <c r="D28" s="24">
        <f t="shared" si="1"/>
        <v>45591</v>
      </c>
      <c r="E28" s="25"/>
      <c r="N28" s="40"/>
      <c r="O28" s="41"/>
      <c r="P28" s="41"/>
      <c r="R28" s="41"/>
    </row>
    <row r="29">
      <c r="A29" s="22"/>
      <c r="B29" s="39"/>
      <c r="C29" s="18">
        <f t="shared" si="2"/>
        <v>45592</v>
      </c>
      <c r="D29" s="24">
        <f t="shared" si="1"/>
        <v>45592</v>
      </c>
      <c r="E29" s="31"/>
      <c r="F29" s="31"/>
      <c r="G29" s="31"/>
      <c r="H29" s="31"/>
      <c r="I29" s="32"/>
      <c r="J29" s="31"/>
      <c r="N29" s="40"/>
      <c r="O29" s="41"/>
      <c r="P29" s="41"/>
      <c r="R29" s="41"/>
    </row>
    <row r="30">
      <c r="A30" s="22"/>
      <c r="B30" s="34">
        <f>B23+1</f>
        <v>44</v>
      </c>
      <c r="C30" s="35">
        <f t="shared" si="2"/>
        <v>45593</v>
      </c>
      <c r="D30" s="36">
        <f t="shared" si="1"/>
        <v>45593</v>
      </c>
      <c r="F30" s="20"/>
      <c r="G30" s="20"/>
      <c r="J30" s="20"/>
      <c r="N30" s="40"/>
      <c r="O30" s="41"/>
      <c r="P30" s="41"/>
      <c r="R30" s="41"/>
    </row>
    <row r="31">
      <c r="A31" s="22"/>
      <c r="C31" s="18">
        <f t="shared" si="2"/>
        <v>45594</v>
      </c>
      <c r="D31" s="24">
        <f t="shared" si="1"/>
        <v>45594</v>
      </c>
      <c r="F31" s="25"/>
      <c r="N31" s="40"/>
      <c r="O31" s="41"/>
      <c r="P31" s="41"/>
      <c r="R31" s="41"/>
    </row>
    <row r="32">
      <c r="A32" s="22"/>
      <c r="C32" s="18">
        <f t="shared" si="2"/>
        <v>45595</v>
      </c>
      <c r="D32" s="24">
        <f t="shared" si="1"/>
        <v>45595</v>
      </c>
      <c r="F32" s="25"/>
      <c r="N32" s="40"/>
      <c r="O32" s="41"/>
      <c r="P32" s="41"/>
      <c r="R32" s="41"/>
    </row>
    <row r="33">
      <c r="A33" s="22"/>
      <c r="C33" s="18">
        <f t="shared" si="2"/>
        <v>45596</v>
      </c>
      <c r="D33" s="24">
        <f t="shared" si="1"/>
        <v>45596</v>
      </c>
      <c r="F33" s="25"/>
      <c r="N33" s="40"/>
      <c r="O33" s="41"/>
      <c r="P33" s="41"/>
      <c r="R33" s="41"/>
    </row>
    <row r="34">
      <c r="A34" s="22"/>
      <c r="C34" s="18">
        <f t="shared" si="2"/>
        <v>45597</v>
      </c>
      <c r="D34" s="24">
        <f t="shared" si="1"/>
        <v>45597</v>
      </c>
      <c r="N34" s="40"/>
      <c r="O34" s="41"/>
      <c r="P34" s="41"/>
      <c r="R34" s="41"/>
    </row>
    <row r="35">
      <c r="A35" s="22"/>
      <c r="C35" s="18">
        <f t="shared" si="2"/>
        <v>45598</v>
      </c>
      <c r="D35" s="24">
        <f t="shared" si="1"/>
        <v>45598</v>
      </c>
      <c r="N35" s="40"/>
      <c r="O35" s="41"/>
      <c r="P35" s="41"/>
      <c r="R35" s="41"/>
    </row>
    <row r="36">
      <c r="A36" s="22"/>
      <c r="B36" s="39"/>
      <c r="C36" s="18">
        <f t="shared" si="2"/>
        <v>45599</v>
      </c>
      <c r="D36" s="24">
        <f t="shared" si="1"/>
        <v>45599</v>
      </c>
      <c r="E36" s="31"/>
      <c r="F36" s="31"/>
      <c r="N36" s="40"/>
      <c r="O36" s="41"/>
      <c r="P36" s="41"/>
      <c r="R36" s="41"/>
    </row>
    <row r="37">
      <c r="A37" s="22"/>
      <c r="B37" s="34">
        <f>B30+1</f>
        <v>45</v>
      </c>
      <c r="C37" s="35">
        <f t="shared" si="2"/>
        <v>45600</v>
      </c>
      <c r="D37" s="36">
        <f t="shared" si="1"/>
        <v>45600</v>
      </c>
      <c r="F37" s="20"/>
      <c r="G37" s="20"/>
      <c r="H37" s="20"/>
      <c r="I37" s="20"/>
      <c r="J37" s="20"/>
    </row>
    <row r="38">
      <c r="A38" s="22"/>
      <c r="C38" s="18">
        <f t="shared" si="2"/>
        <v>45601</v>
      </c>
      <c r="D38" s="24">
        <f t="shared" si="1"/>
        <v>45601</v>
      </c>
    </row>
    <row r="39">
      <c r="A39" s="22"/>
      <c r="C39" s="18">
        <f t="shared" si="2"/>
        <v>45602</v>
      </c>
      <c r="D39" s="24">
        <f t="shared" si="1"/>
        <v>45602</v>
      </c>
    </row>
    <row r="40">
      <c r="A40" s="22"/>
      <c r="C40" s="18">
        <f t="shared" si="2"/>
        <v>45603</v>
      </c>
      <c r="D40" s="24">
        <f t="shared" si="1"/>
        <v>45603</v>
      </c>
    </row>
    <row r="41">
      <c r="A41" s="22"/>
      <c r="C41" s="18">
        <f t="shared" si="2"/>
        <v>45604</v>
      </c>
      <c r="D41" s="24">
        <f t="shared" si="1"/>
        <v>45604</v>
      </c>
    </row>
    <row r="42">
      <c r="A42" s="22"/>
      <c r="C42" s="18">
        <f t="shared" si="2"/>
        <v>45605</v>
      </c>
      <c r="D42" s="24">
        <f t="shared" si="1"/>
        <v>45605</v>
      </c>
    </row>
    <row r="43">
      <c r="A43" s="22"/>
      <c r="B43" s="39"/>
      <c r="C43" s="42">
        <f t="shared" si="2"/>
        <v>45606</v>
      </c>
      <c r="D43" s="43">
        <f t="shared" si="1"/>
        <v>45606</v>
      </c>
      <c r="E43" s="31"/>
      <c r="F43" s="31"/>
      <c r="G43" s="31"/>
      <c r="H43" s="31"/>
      <c r="I43" s="31"/>
      <c r="J43" s="31"/>
    </row>
  </sheetData>
  <autoFilter ref="$C$1:$C$1003">
    <sortState ref="C1:C1003">
      <sortCondition descending="1" sortBy="cellColor" ref="C1:C1003" dxfId="1"/>
    </sortState>
  </autoFilter>
  <mergeCells count="7">
    <mergeCell ref="A2:A43"/>
    <mergeCell ref="B2:B8"/>
    <mergeCell ref="B9:B15"/>
    <mergeCell ref="B16:B22"/>
    <mergeCell ref="B23:B29"/>
    <mergeCell ref="B30:B36"/>
    <mergeCell ref="B37:B43"/>
  </mergeCells>
  <conditionalFormatting sqref="C2:C43">
    <cfRule type="timePeriod" dxfId="2" priority="3" timePeriod="today"/>
  </conditionalFormatting>
  <conditionalFormatting sqref="E2:E43">
    <cfRule type="expression" dxfId="3" priority="4">
      <formula>AND(MONTH($A$1)=MONTH(C2),OR(AND(MOD(WEEKNUM(C2,2),2),ISERROR(MATCH(WEEKDAY(C2,2),$Q$5:$Q$11,0))),AND(MOD(WEEKNUM(C2,2),2)=0,ISERROR(MATCH(WEEKDAY(C2,2),$R$5:$R$11,0)))))</formula>
    </cfRule>
  </conditionalFormatting>
  <conditionalFormatting sqref="F2:F43">
    <cfRule type="expression" dxfId="3" priority="5">
      <formula>AND(MONTH($A$1)=MONTH(C2),OR(AND(MOD(WEEKNUM(C2,2),2),NOT(ISERROR(MATCH(WEEKDAY(C2,2),$Q$5:$Q$11,0)))),AND(MOD(WEEKNUM(C2,2),2)=0,NOT(ISERROR(MATCH(WEEKDAY(C2,2),$R$5:$R$11,0))))))</formula>
    </cfRule>
  </conditionalFormatting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5"/>
    <col customWidth="1" min="3" max="3" width="2.88"/>
    <col customWidth="1" min="4" max="4" width="7.5"/>
    <col customWidth="1" min="5" max="5" width="25.13"/>
    <col customWidth="1" min="7" max="8" width="13.38"/>
    <col customWidth="1" min="9" max="9" width="22.63"/>
    <col customWidth="1" min="10" max="10" width="25.38"/>
    <col customWidth="1" min="14" max="14" width="23.63"/>
    <col customWidth="1" min="16" max="16" width="14.25"/>
  </cols>
  <sheetData>
    <row r="1">
      <c r="A1" s="11">
        <v>45597.0</v>
      </c>
      <c r="B1" s="12" t="s">
        <v>13</v>
      </c>
      <c r="C1" s="13"/>
      <c r="D1" s="14"/>
      <c r="E1" s="15" t="s">
        <v>5</v>
      </c>
      <c r="F1" s="15" t="s">
        <v>14</v>
      </c>
      <c r="G1" s="12"/>
      <c r="H1" s="12"/>
      <c r="I1" s="12" t="s">
        <v>15</v>
      </c>
      <c r="J1" s="12" t="s">
        <v>16</v>
      </c>
    </row>
    <row r="2">
      <c r="A2" s="16">
        <f>A1</f>
        <v>45597</v>
      </c>
      <c r="B2" s="17">
        <f>WEEKNUM(A1)</f>
        <v>44</v>
      </c>
      <c r="C2" s="18">
        <f>A1-WEEKDAY(A1,2)+1</f>
        <v>45593</v>
      </c>
      <c r="D2" s="19">
        <f t="shared" ref="D2:D43" si="1">C2</f>
        <v>45593</v>
      </c>
      <c r="F2" s="20"/>
      <c r="N2" s="21"/>
    </row>
    <row r="3">
      <c r="A3" s="22"/>
      <c r="B3" s="23"/>
      <c r="C3" s="18">
        <f t="shared" ref="C3:C43" si="2">C2+1</f>
        <v>45594</v>
      </c>
      <c r="D3" s="24">
        <f t="shared" si="1"/>
        <v>45594</v>
      </c>
      <c r="N3" s="21"/>
    </row>
    <row r="4">
      <c r="A4" s="22"/>
      <c r="B4" s="23"/>
      <c r="C4" s="18">
        <f t="shared" si="2"/>
        <v>45595</v>
      </c>
      <c r="D4" s="24">
        <f t="shared" si="1"/>
        <v>45595</v>
      </c>
      <c r="N4" s="21"/>
    </row>
    <row r="5">
      <c r="A5" s="22"/>
      <c r="B5" s="23"/>
      <c r="C5" s="18">
        <f t="shared" si="2"/>
        <v>45596</v>
      </c>
      <c r="D5" s="24">
        <f t="shared" si="1"/>
        <v>45596</v>
      </c>
      <c r="M5" s="26"/>
      <c r="N5" s="21" t="s">
        <v>17</v>
      </c>
      <c r="Q5" s="27"/>
      <c r="R5" s="27">
        <v>1.0</v>
      </c>
    </row>
    <row r="6">
      <c r="A6" s="22"/>
      <c r="B6" s="23"/>
      <c r="C6" s="18">
        <f t="shared" si="2"/>
        <v>45597</v>
      </c>
      <c r="D6" s="24">
        <f t="shared" si="1"/>
        <v>45597</v>
      </c>
      <c r="F6" s="25"/>
      <c r="M6" s="28"/>
      <c r="N6" s="21" t="s">
        <v>18</v>
      </c>
      <c r="Q6" s="27"/>
      <c r="R6" s="27">
        <v>2.0</v>
      </c>
    </row>
    <row r="7">
      <c r="A7" s="22"/>
      <c r="B7" s="23"/>
      <c r="C7" s="18">
        <f t="shared" si="2"/>
        <v>45598</v>
      </c>
      <c r="D7" s="24">
        <f t="shared" si="1"/>
        <v>45598</v>
      </c>
      <c r="F7" s="25"/>
      <c r="Q7" s="29"/>
      <c r="R7" s="27">
        <v>3.0</v>
      </c>
    </row>
    <row r="8">
      <c r="A8" s="22"/>
      <c r="B8" s="30"/>
      <c r="C8" s="18">
        <f t="shared" si="2"/>
        <v>45599</v>
      </c>
      <c r="D8" s="24">
        <f t="shared" si="1"/>
        <v>45599</v>
      </c>
      <c r="E8" s="31"/>
      <c r="F8" s="31"/>
      <c r="G8" s="32"/>
      <c r="H8" s="32"/>
      <c r="I8" s="32"/>
      <c r="J8" s="31"/>
      <c r="M8" s="33"/>
      <c r="N8" s="21" t="s">
        <v>19</v>
      </c>
      <c r="Q8" s="29"/>
      <c r="R8" s="27">
        <v>4.0</v>
      </c>
    </row>
    <row r="9">
      <c r="A9" s="22"/>
      <c r="B9" s="34">
        <f>B2+1</f>
        <v>45</v>
      </c>
      <c r="C9" s="35">
        <f t="shared" si="2"/>
        <v>45600</v>
      </c>
      <c r="D9" s="36">
        <f t="shared" si="1"/>
        <v>45600</v>
      </c>
      <c r="E9" s="25"/>
      <c r="F9" s="20"/>
      <c r="G9" s="20"/>
      <c r="H9" s="20"/>
      <c r="I9" s="20"/>
      <c r="J9" s="20"/>
      <c r="M9" s="37"/>
      <c r="N9" s="21" t="s">
        <v>20</v>
      </c>
      <c r="Q9" s="29"/>
      <c r="R9" s="27">
        <v>5.0</v>
      </c>
    </row>
    <row r="10">
      <c r="A10" s="22"/>
      <c r="C10" s="18">
        <f t="shared" si="2"/>
        <v>45601</v>
      </c>
      <c r="D10" s="24">
        <f t="shared" si="1"/>
        <v>45601</v>
      </c>
      <c r="E10" s="25"/>
      <c r="Q10" s="29"/>
      <c r="R10" s="27">
        <v>6.0</v>
      </c>
    </row>
    <row r="11">
      <c r="A11" s="22"/>
      <c r="C11" s="18">
        <f t="shared" si="2"/>
        <v>45602</v>
      </c>
      <c r="D11" s="24">
        <f t="shared" si="1"/>
        <v>45602</v>
      </c>
      <c r="E11" s="25"/>
      <c r="Q11" s="29"/>
      <c r="R11" s="27">
        <v>7.0</v>
      </c>
    </row>
    <row r="12">
      <c r="A12" s="22"/>
      <c r="C12" s="18">
        <f t="shared" si="2"/>
        <v>45603</v>
      </c>
      <c r="D12" s="24">
        <f t="shared" si="1"/>
        <v>45603</v>
      </c>
      <c r="E12" s="25"/>
      <c r="K12" s="38"/>
    </row>
    <row r="13">
      <c r="A13" s="22"/>
      <c r="C13" s="18">
        <f t="shared" si="2"/>
        <v>45604</v>
      </c>
      <c r="D13" s="24">
        <f t="shared" si="1"/>
        <v>45604</v>
      </c>
      <c r="E13" s="25"/>
    </row>
    <row r="14">
      <c r="A14" s="22"/>
      <c r="C14" s="18">
        <f t="shared" si="2"/>
        <v>45605</v>
      </c>
      <c r="D14" s="24">
        <f t="shared" si="1"/>
        <v>45605</v>
      </c>
      <c r="E14" s="25"/>
    </row>
    <row r="15">
      <c r="A15" s="22"/>
      <c r="B15" s="39"/>
      <c r="C15" s="18">
        <f t="shared" si="2"/>
        <v>45606</v>
      </c>
      <c r="D15" s="24">
        <f t="shared" si="1"/>
        <v>45606</v>
      </c>
      <c r="E15" s="31"/>
      <c r="F15" s="31"/>
      <c r="G15" s="31"/>
      <c r="H15" s="31"/>
      <c r="I15" s="31"/>
      <c r="J15" s="31"/>
    </row>
    <row r="16">
      <c r="A16" s="22"/>
      <c r="B16" s="34">
        <f>B9+1</f>
        <v>46</v>
      </c>
      <c r="C16" s="35">
        <f t="shared" si="2"/>
        <v>45607</v>
      </c>
      <c r="D16" s="36">
        <f t="shared" si="1"/>
        <v>45607</v>
      </c>
      <c r="F16" s="20"/>
      <c r="I16" s="20"/>
      <c r="J16" s="20"/>
      <c r="N16" s="40"/>
      <c r="O16" s="41"/>
      <c r="P16" s="41"/>
      <c r="R16" s="41"/>
    </row>
    <row r="17">
      <c r="A17" s="22"/>
      <c r="C17" s="18">
        <f t="shared" si="2"/>
        <v>45608</v>
      </c>
      <c r="D17" s="24">
        <f t="shared" si="1"/>
        <v>45608</v>
      </c>
      <c r="F17" s="25"/>
      <c r="N17" s="40"/>
      <c r="O17" s="41"/>
      <c r="P17" s="41"/>
      <c r="R17" s="41"/>
    </row>
    <row r="18">
      <c r="A18" s="22"/>
      <c r="C18" s="18">
        <f t="shared" si="2"/>
        <v>45609</v>
      </c>
      <c r="D18" s="24">
        <f t="shared" si="1"/>
        <v>45609</v>
      </c>
      <c r="F18" s="25"/>
      <c r="N18" s="40"/>
      <c r="O18" s="41"/>
      <c r="P18" s="41"/>
      <c r="R18" s="41"/>
    </row>
    <row r="19">
      <c r="A19" s="22"/>
      <c r="C19" s="18">
        <f t="shared" si="2"/>
        <v>45610</v>
      </c>
      <c r="D19" s="24">
        <f t="shared" si="1"/>
        <v>45610</v>
      </c>
      <c r="F19" s="25"/>
      <c r="G19" s="21"/>
      <c r="N19" s="40"/>
      <c r="O19" s="41"/>
      <c r="P19" s="41"/>
      <c r="R19" s="41"/>
    </row>
    <row r="20">
      <c r="A20" s="22"/>
      <c r="C20" s="18">
        <f t="shared" si="2"/>
        <v>45611</v>
      </c>
      <c r="D20" s="24">
        <f t="shared" si="1"/>
        <v>45611</v>
      </c>
      <c r="F20" s="25"/>
      <c r="N20" s="40"/>
      <c r="O20" s="41"/>
      <c r="P20" s="41"/>
      <c r="R20" s="41"/>
    </row>
    <row r="21">
      <c r="A21" s="22"/>
      <c r="C21" s="18">
        <f t="shared" si="2"/>
        <v>45612</v>
      </c>
      <c r="D21" s="24">
        <f t="shared" si="1"/>
        <v>45612</v>
      </c>
      <c r="F21" s="25"/>
      <c r="N21" s="40"/>
      <c r="O21" s="41"/>
      <c r="P21" s="41"/>
      <c r="R21" s="41"/>
    </row>
    <row r="22">
      <c r="A22" s="22"/>
      <c r="B22" s="39"/>
      <c r="C22" s="18">
        <f t="shared" si="2"/>
        <v>45613</v>
      </c>
      <c r="D22" s="24">
        <f t="shared" si="1"/>
        <v>45613</v>
      </c>
      <c r="E22" s="31"/>
      <c r="F22" s="31"/>
      <c r="G22" s="31"/>
      <c r="H22" s="31"/>
      <c r="I22" s="32"/>
      <c r="J22" s="31"/>
      <c r="N22" s="40"/>
      <c r="O22" s="41"/>
      <c r="P22" s="41"/>
      <c r="R22" s="41"/>
    </row>
    <row r="23">
      <c r="A23" s="22"/>
      <c r="B23" s="34">
        <f>B16+1</f>
        <v>47</v>
      </c>
      <c r="C23" s="35">
        <f t="shared" si="2"/>
        <v>45614</v>
      </c>
      <c r="D23" s="36">
        <f t="shared" si="1"/>
        <v>45614</v>
      </c>
      <c r="E23" s="25"/>
      <c r="F23" s="20"/>
      <c r="G23" s="20"/>
      <c r="H23" s="20"/>
      <c r="J23" s="20"/>
      <c r="N23" s="40"/>
      <c r="O23" s="41"/>
      <c r="P23" s="41"/>
      <c r="R23" s="41"/>
    </row>
    <row r="24">
      <c r="A24" s="22"/>
      <c r="C24" s="18">
        <f t="shared" si="2"/>
        <v>45615</v>
      </c>
      <c r="D24" s="24">
        <f t="shared" si="1"/>
        <v>45615</v>
      </c>
      <c r="E24" s="25"/>
      <c r="N24" s="40"/>
      <c r="O24" s="41"/>
      <c r="P24" s="41"/>
      <c r="R24" s="41"/>
    </row>
    <row r="25">
      <c r="A25" s="22"/>
      <c r="C25" s="18">
        <f t="shared" si="2"/>
        <v>45616</v>
      </c>
      <c r="D25" s="24">
        <f t="shared" si="1"/>
        <v>45616</v>
      </c>
      <c r="E25" s="25"/>
      <c r="N25" s="40"/>
      <c r="O25" s="41"/>
      <c r="P25" s="41"/>
      <c r="R25" s="41"/>
    </row>
    <row r="26">
      <c r="A26" s="22"/>
      <c r="C26" s="18">
        <f t="shared" si="2"/>
        <v>45617</v>
      </c>
      <c r="D26" s="24">
        <f t="shared" si="1"/>
        <v>45617</v>
      </c>
      <c r="E26" s="21"/>
      <c r="N26" s="40"/>
      <c r="O26" s="41"/>
      <c r="P26" s="41"/>
      <c r="R26" s="41"/>
    </row>
    <row r="27">
      <c r="A27" s="22"/>
      <c r="C27" s="18">
        <f t="shared" si="2"/>
        <v>45618</v>
      </c>
      <c r="D27" s="24">
        <f t="shared" si="1"/>
        <v>45618</v>
      </c>
      <c r="E27" s="21"/>
      <c r="N27" s="40"/>
      <c r="O27" s="41"/>
      <c r="P27" s="41"/>
      <c r="R27" s="41"/>
    </row>
    <row r="28">
      <c r="A28" s="22"/>
      <c r="C28" s="18">
        <f t="shared" si="2"/>
        <v>45619</v>
      </c>
      <c r="D28" s="24">
        <f t="shared" si="1"/>
        <v>45619</v>
      </c>
      <c r="E28" s="25"/>
      <c r="N28" s="40"/>
      <c r="O28" s="41"/>
      <c r="P28" s="41"/>
      <c r="R28" s="41"/>
    </row>
    <row r="29">
      <c r="A29" s="22"/>
      <c r="B29" s="39"/>
      <c r="C29" s="18">
        <f t="shared" si="2"/>
        <v>45620</v>
      </c>
      <c r="D29" s="24">
        <f t="shared" si="1"/>
        <v>45620</v>
      </c>
      <c r="E29" s="31"/>
      <c r="F29" s="31"/>
      <c r="G29" s="31"/>
      <c r="H29" s="31"/>
      <c r="I29" s="32"/>
      <c r="J29" s="31"/>
      <c r="N29" s="40"/>
      <c r="O29" s="41"/>
      <c r="P29" s="41"/>
      <c r="R29" s="41"/>
    </row>
    <row r="30">
      <c r="A30" s="22"/>
      <c r="B30" s="34">
        <f>B23+1</f>
        <v>48</v>
      </c>
      <c r="C30" s="35">
        <f t="shared" si="2"/>
        <v>45621</v>
      </c>
      <c r="D30" s="36">
        <f t="shared" si="1"/>
        <v>45621</v>
      </c>
      <c r="F30" s="20"/>
      <c r="G30" s="20"/>
      <c r="J30" s="20"/>
      <c r="N30" s="40"/>
      <c r="O30" s="41"/>
      <c r="P30" s="41"/>
      <c r="R30" s="41"/>
    </row>
    <row r="31">
      <c r="A31" s="22"/>
      <c r="C31" s="18">
        <f t="shared" si="2"/>
        <v>45622</v>
      </c>
      <c r="D31" s="24">
        <f t="shared" si="1"/>
        <v>45622</v>
      </c>
      <c r="F31" s="25"/>
      <c r="N31" s="40"/>
      <c r="O31" s="41"/>
      <c r="P31" s="41"/>
      <c r="R31" s="41"/>
    </row>
    <row r="32">
      <c r="A32" s="22"/>
      <c r="C32" s="18">
        <f t="shared" si="2"/>
        <v>45623</v>
      </c>
      <c r="D32" s="24">
        <f t="shared" si="1"/>
        <v>45623</v>
      </c>
      <c r="F32" s="25"/>
      <c r="N32" s="40"/>
      <c r="O32" s="41"/>
      <c r="P32" s="41"/>
      <c r="R32" s="41"/>
    </row>
    <row r="33">
      <c r="A33" s="22"/>
      <c r="C33" s="18">
        <f t="shared" si="2"/>
        <v>45624</v>
      </c>
      <c r="D33" s="24">
        <f t="shared" si="1"/>
        <v>45624</v>
      </c>
      <c r="F33" s="25"/>
      <c r="N33" s="40"/>
      <c r="O33" s="41"/>
      <c r="P33" s="41"/>
      <c r="R33" s="41"/>
    </row>
    <row r="34">
      <c r="A34" s="22"/>
      <c r="C34" s="18">
        <f t="shared" si="2"/>
        <v>45625</v>
      </c>
      <c r="D34" s="24">
        <f t="shared" si="1"/>
        <v>45625</v>
      </c>
      <c r="F34" s="25"/>
      <c r="N34" s="40"/>
      <c r="O34" s="41"/>
      <c r="P34" s="41"/>
      <c r="R34" s="41"/>
    </row>
    <row r="35">
      <c r="A35" s="22"/>
      <c r="C35" s="18">
        <f t="shared" si="2"/>
        <v>45626</v>
      </c>
      <c r="D35" s="24">
        <f t="shared" si="1"/>
        <v>45626</v>
      </c>
      <c r="F35" s="25"/>
      <c r="N35" s="40"/>
      <c r="O35" s="41"/>
      <c r="P35" s="41"/>
      <c r="R35" s="41"/>
    </row>
    <row r="36">
      <c r="A36" s="22"/>
      <c r="B36" s="39"/>
      <c r="C36" s="18">
        <f t="shared" si="2"/>
        <v>45627</v>
      </c>
      <c r="D36" s="24">
        <f t="shared" si="1"/>
        <v>45627</v>
      </c>
      <c r="E36" s="31"/>
      <c r="F36" s="31"/>
      <c r="N36" s="40"/>
      <c r="O36" s="41"/>
      <c r="P36" s="41"/>
      <c r="R36" s="41"/>
    </row>
    <row r="37">
      <c r="A37" s="22"/>
      <c r="B37" s="34">
        <f>B30+1</f>
        <v>49</v>
      </c>
      <c r="C37" s="35">
        <f t="shared" si="2"/>
        <v>45628</v>
      </c>
      <c r="D37" s="36">
        <f t="shared" si="1"/>
        <v>45628</v>
      </c>
      <c r="F37" s="20"/>
      <c r="G37" s="20"/>
      <c r="H37" s="20"/>
      <c r="I37" s="20"/>
      <c r="J37" s="20"/>
    </row>
    <row r="38">
      <c r="A38" s="22"/>
      <c r="C38" s="18">
        <f t="shared" si="2"/>
        <v>45629</v>
      </c>
      <c r="D38" s="24">
        <f t="shared" si="1"/>
        <v>45629</v>
      </c>
    </row>
    <row r="39">
      <c r="A39" s="22"/>
      <c r="C39" s="18">
        <f t="shared" si="2"/>
        <v>45630</v>
      </c>
      <c r="D39" s="24">
        <f t="shared" si="1"/>
        <v>45630</v>
      </c>
    </row>
    <row r="40">
      <c r="A40" s="22"/>
      <c r="C40" s="18">
        <f t="shared" si="2"/>
        <v>45631</v>
      </c>
      <c r="D40" s="24">
        <f t="shared" si="1"/>
        <v>45631</v>
      </c>
    </row>
    <row r="41">
      <c r="A41" s="22"/>
      <c r="C41" s="18">
        <f t="shared" si="2"/>
        <v>45632</v>
      </c>
      <c r="D41" s="24">
        <f t="shared" si="1"/>
        <v>45632</v>
      </c>
    </row>
    <row r="42">
      <c r="A42" s="22"/>
      <c r="C42" s="18">
        <f t="shared" si="2"/>
        <v>45633</v>
      </c>
      <c r="D42" s="24">
        <f t="shared" si="1"/>
        <v>45633</v>
      </c>
    </row>
    <row r="43">
      <c r="A43" s="22"/>
      <c r="B43" s="39"/>
      <c r="C43" s="42">
        <f t="shared" si="2"/>
        <v>45634</v>
      </c>
      <c r="D43" s="43">
        <f t="shared" si="1"/>
        <v>45634</v>
      </c>
      <c r="E43" s="31"/>
      <c r="F43" s="31"/>
      <c r="G43" s="31"/>
      <c r="H43" s="31"/>
      <c r="I43" s="31"/>
      <c r="J43" s="31"/>
    </row>
  </sheetData>
  <autoFilter ref="$C$1:$C$1003">
    <sortState ref="C1:C1003">
      <sortCondition descending="1" sortBy="cellColor" ref="C1:C1003" dxfId="1"/>
    </sortState>
  </autoFilter>
  <mergeCells count="7">
    <mergeCell ref="A2:A43"/>
    <mergeCell ref="B2:B8"/>
    <mergeCell ref="B9:B15"/>
    <mergeCell ref="B16:B22"/>
    <mergeCell ref="B23:B29"/>
    <mergeCell ref="B30:B36"/>
    <mergeCell ref="B37:B43"/>
  </mergeCells>
  <conditionalFormatting sqref="C2:C43">
    <cfRule type="timePeriod" dxfId="2" priority="3" timePeriod="today"/>
  </conditionalFormatting>
  <conditionalFormatting sqref="E2:E43">
    <cfRule type="expression" dxfId="3" priority="4">
      <formula>AND(MONTH($A$1)=MONTH(C2),OR(AND(MOD(WEEKNUM(C2,2),2),ISERROR(MATCH(WEEKDAY(C2,2),$Q$5:$Q$11,0))),AND(MOD(WEEKNUM(C2,2),2)=0,ISERROR(MATCH(WEEKDAY(C2,2),$R$5:$R$11,0)))))</formula>
    </cfRule>
  </conditionalFormatting>
  <conditionalFormatting sqref="F2:F43">
    <cfRule type="expression" dxfId="3" priority="5">
      <formula>AND(MONTH($A$1)=MONTH(C2),OR(AND(MOD(WEEKNUM(C2,2),2),NOT(ISERROR(MATCH(WEEKDAY(C2,2),$Q$5:$Q$11,0)))),AND(MOD(WEEKNUM(C2,2),2)=0,NOT(ISERROR(MATCH(WEEKDAY(C2,2),$R$5:$R$11,0))))))</formula>
    </cfRule>
  </conditionalFormatting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5"/>
    <col customWidth="1" min="3" max="3" width="2.88"/>
    <col customWidth="1" min="4" max="4" width="7.5"/>
    <col customWidth="1" min="5" max="5" width="25.13"/>
    <col customWidth="1" min="6" max="6" width="29.63"/>
    <col customWidth="1" min="7" max="7" width="26.75"/>
    <col customWidth="1" min="8" max="8" width="13.38"/>
    <col customWidth="1" min="9" max="9" width="22.63"/>
    <col customWidth="1" min="10" max="10" width="25.38"/>
    <col customWidth="1" min="14" max="14" width="23.63"/>
    <col customWidth="1" min="16" max="16" width="14.25"/>
  </cols>
  <sheetData>
    <row r="1">
      <c r="A1" s="11">
        <v>45627.0</v>
      </c>
      <c r="B1" s="12" t="s">
        <v>13</v>
      </c>
      <c r="C1" s="13"/>
      <c r="D1" s="14"/>
      <c r="E1" s="15" t="s">
        <v>5</v>
      </c>
      <c r="F1" s="15" t="s">
        <v>14</v>
      </c>
      <c r="G1" s="12"/>
      <c r="H1" s="12"/>
      <c r="I1" s="12" t="s">
        <v>15</v>
      </c>
      <c r="J1" s="12" t="s">
        <v>16</v>
      </c>
    </row>
    <row r="2">
      <c r="A2" s="16">
        <f>A1</f>
        <v>45627</v>
      </c>
      <c r="B2" s="17">
        <v>48.0</v>
      </c>
      <c r="C2" s="18">
        <f>A1-WEEKDAY(A1,2)+1</f>
        <v>45621</v>
      </c>
      <c r="D2" s="19">
        <f t="shared" ref="D2:D43" si="1">C2</f>
        <v>45621</v>
      </c>
      <c r="F2" s="20"/>
      <c r="N2" s="21"/>
    </row>
    <row r="3">
      <c r="A3" s="22"/>
      <c r="B3" s="23"/>
      <c r="C3" s="18">
        <f t="shared" ref="C3:C43" si="2">C2+1</f>
        <v>45622</v>
      </c>
      <c r="D3" s="24">
        <f t="shared" si="1"/>
        <v>45622</v>
      </c>
      <c r="N3" s="21"/>
    </row>
    <row r="4">
      <c r="A4" s="22"/>
      <c r="B4" s="23"/>
      <c r="C4" s="18">
        <f t="shared" si="2"/>
        <v>45623</v>
      </c>
      <c r="D4" s="24">
        <f t="shared" si="1"/>
        <v>45623</v>
      </c>
      <c r="N4" s="21"/>
    </row>
    <row r="5">
      <c r="A5" s="22"/>
      <c r="B5" s="23"/>
      <c r="C5" s="18">
        <f t="shared" si="2"/>
        <v>45624</v>
      </c>
      <c r="D5" s="24">
        <f t="shared" si="1"/>
        <v>45624</v>
      </c>
      <c r="M5" s="26"/>
      <c r="N5" s="21" t="s">
        <v>17</v>
      </c>
      <c r="Q5" s="27"/>
      <c r="R5" s="27">
        <v>1.0</v>
      </c>
    </row>
    <row r="6">
      <c r="A6" s="22"/>
      <c r="B6" s="23"/>
      <c r="C6" s="18">
        <f t="shared" si="2"/>
        <v>45625</v>
      </c>
      <c r="D6" s="24">
        <f t="shared" si="1"/>
        <v>45625</v>
      </c>
      <c r="M6" s="28"/>
      <c r="N6" s="21" t="s">
        <v>18</v>
      </c>
      <c r="Q6" s="27"/>
      <c r="R6" s="27">
        <v>2.0</v>
      </c>
    </row>
    <row r="7">
      <c r="A7" s="22"/>
      <c r="B7" s="23"/>
      <c r="C7" s="18">
        <f t="shared" si="2"/>
        <v>45626</v>
      </c>
      <c r="D7" s="24">
        <f t="shared" si="1"/>
        <v>45626</v>
      </c>
      <c r="Q7" s="29"/>
      <c r="R7" s="27">
        <v>3.0</v>
      </c>
    </row>
    <row r="8">
      <c r="A8" s="22"/>
      <c r="B8" s="30"/>
      <c r="C8" s="18">
        <f t="shared" si="2"/>
        <v>45627</v>
      </c>
      <c r="D8" s="24">
        <f t="shared" si="1"/>
        <v>45627</v>
      </c>
      <c r="E8" s="31"/>
      <c r="F8" s="31"/>
      <c r="G8" s="32"/>
      <c r="H8" s="32"/>
      <c r="I8" s="32"/>
      <c r="J8" s="31"/>
      <c r="M8" s="33"/>
      <c r="N8" s="21" t="s">
        <v>19</v>
      </c>
      <c r="Q8" s="29"/>
      <c r="R8" s="27">
        <v>4.0</v>
      </c>
    </row>
    <row r="9">
      <c r="A9" s="22"/>
      <c r="B9" s="34">
        <f>B2+1</f>
        <v>49</v>
      </c>
      <c r="C9" s="35">
        <f t="shared" si="2"/>
        <v>45628</v>
      </c>
      <c r="D9" s="36">
        <f t="shared" si="1"/>
        <v>45628</v>
      </c>
      <c r="E9" s="25"/>
      <c r="F9" s="80" t="s">
        <v>26</v>
      </c>
      <c r="G9" s="20"/>
      <c r="H9" s="20"/>
      <c r="I9" s="20"/>
      <c r="J9" s="20"/>
      <c r="M9" s="37"/>
      <c r="N9" s="21" t="s">
        <v>20</v>
      </c>
      <c r="Q9" s="29"/>
      <c r="R9" s="27">
        <v>5.0</v>
      </c>
    </row>
    <row r="10">
      <c r="A10" s="22"/>
      <c r="C10" s="18">
        <f t="shared" si="2"/>
        <v>45629</v>
      </c>
      <c r="D10" s="24">
        <f t="shared" si="1"/>
        <v>45629</v>
      </c>
      <c r="E10" s="21" t="s">
        <v>26</v>
      </c>
      <c r="Q10" s="29"/>
      <c r="R10" s="27">
        <v>6.0</v>
      </c>
    </row>
    <row r="11">
      <c r="A11" s="22"/>
      <c r="C11" s="18">
        <f t="shared" si="2"/>
        <v>45630</v>
      </c>
      <c r="D11" s="24">
        <f t="shared" si="1"/>
        <v>45630</v>
      </c>
      <c r="E11" s="21" t="s">
        <v>26</v>
      </c>
      <c r="Q11" s="29"/>
      <c r="R11" s="27">
        <v>7.0</v>
      </c>
    </row>
    <row r="12">
      <c r="A12" s="22"/>
      <c r="C12" s="18">
        <f t="shared" si="2"/>
        <v>45631</v>
      </c>
      <c r="D12" s="24">
        <f t="shared" si="1"/>
        <v>45631</v>
      </c>
      <c r="E12" s="21" t="s">
        <v>26</v>
      </c>
      <c r="K12" s="38"/>
    </row>
    <row r="13">
      <c r="A13" s="22"/>
      <c r="C13" s="18">
        <f t="shared" si="2"/>
        <v>45632</v>
      </c>
      <c r="D13" s="24">
        <f t="shared" si="1"/>
        <v>45632</v>
      </c>
      <c r="E13" s="21" t="s">
        <v>26</v>
      </c>
    </row>
    <row r="14">
      <c r="A14" s="22"/>
      <c r="C14" s="18">
        <f t="shared" si="2"/>
        <v>45633</v>
      </c>
      <c r="D14" s="24">
        <f t="shared" si="1"/>
        <v>45633</v>
      </c>
      <c r="E14" s="25"/>
      <c r="F14" s="21" t="s">
        <v>208</v>
      </c>
    </row>
    <row r="15">
      <c r="A15" s="22"/>
      <c r="B15" s="39"/>
      <c r="C15" s="18">
        <f t="shared" si="2"/>
        <v>45634</v>
      </c>
      <c r="D15" s="24">
        <f t="shared" si="1"/>
        <v>45634</v>
      </c>
      <c r="E15" s="31"/>
      <c r="F15" s="31"/>
      <c r="G15" s="31"/>
      <c r="H15" s="31"/>
      <c r="I15" s="31"/>
      <c r="J15" s="31"/>
    </row>
    <row r="16">
      <c r="A16" s="22"/>
      <c r="B16" s="34">
        <f>B9+1</f>
        <v>50</v>
      </c>
      <c r="C16" s="35">
        <f t="shared" si="2"/>
        <v>45635</v>
      </c>
      <c r="D16" s="36">
        <f t="shared" si="1"/>
        <v>45635</v>
      </c>
      <c r="F16" s="20"/>
      <c r="I16" s="20"/>
      <c r="J16" s="20"/>
      <c r="N16" s="40"/>
      <c r="O16" s="41"/>
      <c r="P16" s="41"/>
      <c r="R16" s="41"/>
    </row>
    <row r="17">
      <c r="A17" s="22"/>
      <c r="C17" s="18">
        <f t="shared" si="2"/>
        <v>45636</v>
      </c>
      <c r="D17" s="24">
        <f t="shared" si="1"/>
        <v>45636</v>
      </c>
      <c r="F17" s="25"/>
      <c r="N17" s="40"/>
      <c r="O17" s="41"/>
      <c r="P17" s="41"/>
      <c r="R17" s="41"/>
    </row>
    <row r="18">
      <c r="A18" s="22"/>
      <c r="C18" s="18">
        <f t="shared" si="2"/>
        <v>45637</v>
      </c>
      <c r="D18" s="24">
        <f t="shared" si="1"/>
        <v>45637</v>
      </c>
      <c r="F18" s="25"/>
      <c r="N18" s="40"/>
      <c r="O18" s="41"/>
      <c r="P18" s="41"/>
      <c r="R18" s="41"/>
    </row>
    <row r="19">
      <c r="A19" s="22"/>
      <c r="C19" s="18">
        <f t="shared" si="2"/>
        <v>45638</v>
      </c>
      <c r="D19" s="24">
        <f t="shared" si="1"/>
        <v>45638</v>
      </c>
      <c r="F19" s="21" t="s">
        <v>209</v>
      </c>
      <c r="G19" s="21"/>
      <c r="N19" s="40"/>
      <c r="O19" s="41"/>
      <c r="P19" s="41"/>
      <c r="R19" s="41"/>
    </row>
    <row r="20">
      <c r="A20" s="22"/>
      <c r="C20" s="18">
        <f t="shared" si="2"/>
        <v>45639</v>
      </c>
      <c r="D20" s="24">
        <f t="shared" si="1"/>
        <v>45639</v>
      </c>
      <c r="F20" s="21" t="s">
        <v>26</v>
      </c>
      <c r="N20" s="40"/>
      <c r="O20" s="41"/>
      <c r="P20" s="41"/>
      <c r="R20" s="41"/>
    </row>
    <row r="21">
      <c r="A21" s="22"/>
      <c r="C21" s="18">
        <f t="shared" si="2"/>
        <v>45640</v>
      </c>
      <c r="D21" s="24">
        <f t="shared" si="1"/>
        <v>45640</v>
      </c>
      <c r="F21" s="25"/>
      <c r="N21" s="40"/>
      <c r="O21" s="41"/>
      <c r="P21" s="41"/>
      <c r="R21" s="41"/>
    </row>
    <row r="22">
      <c r="A22" s="22"/>
      <c r="B22" s="39"/>
      <c r="C22" s="18">
        <f t="shared" si="2"/>
        <v>45641</v>
      </c>
      <c r="D22" s="24">
        <f t="shared" si="1"/>
        <v>45641</v>
      </c>
      <c r="E22" s="31"/>
      <c r="F22" s="31"/>
      <c r="G22" s="31"/>
      <c r="H22" s="31"/>
      <c r="I22" s="32"/>
      <c r="J22" s="31"/>
      <c r="N22" s="40"/>
      <c r="O22" s="41"/>
      <c r="P22" s="41"/>
      <c r="R22" s="41"/>
    </row>
    <row r="23">
      <c r="A23" s="22"/>
      <c r="B23" s="34">
        <f>B16+1</f>
        <v>51</v>
      </c>
      <c r="C23" s="35">
        <f t="shared" si="2"/>
        <v>45642</v>
      </c>
      <c r="D23" s="36">
        <f t="shared" si="1"/>
        <v>45642</v>
      </c>
      <c r="E23" s="25"/>
      <c r="F23" s="80" t="s">
        <v>26</v>
      </c>
      <c r="G23" s="80" t="s">
        <v>210</v>
      </c>
      <c r="H23" s="20"/>
      <c r="J23" s="20"/>
      <c r="N23" s="40"/>
      <c r="O23" s="41"/>
      <c r="P23" s="41"/>
      <c r="R23" s="41"/>
    </row>
    <row r="24">
      <c r="A24" s="22"/>
      <c r="C24" s="18">
        <f t="shared" si="2"/>
        <v>45643</v>
      </c>
      <c r="D24" s="24">
        <f t="shared" si="1"/>
        <v>45643</v>
      </c>
      <c r="E24" s="25"/>
      <c r="N24" s="40"/>
      <c r="O24" s="41"/>
      <c r="P24" s="41"/>
      <c r="R24" s="41"/>
    </row>
    <row r="25">
      <c r="A25" s="22"/>
      <c r="C25" s="18">
        <f t="shared" si="2"/>
        <v>45644</v>
      </c>
      <c r="D25" s="24">
        <f t="shared" si="1"/>
        <v>45644</v>
      </c>
      <c r="E25" s="25"/>
      <c r="N25" s="40"/>
      <c r="O25" s="41"/>
      <c r="P25" s="41"/>
      <c r="R25" s="41"/>
    </row>
    <row r="26">
      <c r="A26" s="22"/>
      <c r="C26" s="18">
        <f t="shared" si="2"/>
        <v>45645</v>
      </c>
      <c r="D26" s="24">
        <f t="shared" si="1"/>
        <v>45645</v>
      </c>
      <c r="E26" s="21"/>
      <c r="N26" s="40"/>
      <c r="O26" s="41"/>
      <c r="P26" s="41"/>
      <c r="R26" s="41"/>
    </row>
    <row r="27">
      <c r="A27" s="22"/>
      <c r="C27" s="18">
        <f t="shared" si="2"/>
        <v>45646</v>
      </c>
      <c r="D27" s="24">
        <f t="shared" si="1"/>
        <v>45646</v>
      </c>
      <c r="E27" s="21"/>
      <c r="N27" s="40"/>
      <c r="O27" s="41"/>
      <c r="P27" s="41"/>
      <c r="R27" s="41"/>
    </row>
    <row r="28">
      <c r="A28" s="22"/>
      <c r="C28" s="18">
        <f t="shared" si="2"/>
        <v>45647</v>
      </c>
      <c r="D28" s="24">
        <f t="shared" si="1"/>
        <v>45647</v>
      </c>
      <c r="E28" s="25"/>
      <c r="F28" s="28"/>
      <c r="N28" s="40"/>
      <c r="O28" s="41"/>
      <c r="P28" s="41"/>
      <c r="R28" s="41"/>
    </row>
    <row r="29">
      <c r="A29" s="22"/>
      <c r="B29" s="39"/>
      <c r="C29" s="18">
        <f t="shared" si="2"/>
        <v>45648</v>
      </c>
      <c r="D29" s="24">
        <f t="shared" si="1"/>
        <v>45648</v>
      </c>
      <c r="E29" s="31"/>
      <c r="F29" s="28"/>
      <c r="G29" s="31"/>
      <c r="H29" s="31"/>
      <c r="I29" s="32"/>
      <c r="J29" s="31"/>
      <c r="N29" s="40"/>
      <c r="O29" s="41"/>
      <c r="P29" s="41"/>
      <c r="R29" s="41"/>
    </row>
    <row r="30">
      <c r="A30" s="22"/>
      <c r="B30" s="34">
        <f>B23+1</f>
        <v>52</v>
      </c>
      <c r="C30" s="35">
        <f t="shared" si="2"/>
        <v>45649</v>
      </c>
      <c r="D30" s="36">
        <f t="shared" si="1"/>
        <v>45649</v>
      </c>
      <c r="F30" s="80"/>
      <c r="G30" s="104" t="s">
        <v>54</v>
      </c>
      <c r="J30" s="20"/>
      <c r="N30" s="40"/>
      <c r="O30" s="41"/>
      <c r="P30" s="41"/>
      <c r="R30" s="41"/>
    </row>
    <row r="31">
      <c r="A31" s="22"/>
      <c r="C31" s="18">
        <f t="shared" si="2"/>
        <v>45650</v>
      </c>
      <c r="D31" s="24">
        <f t="shared" si="1"/>
        <v>45650</v>
      </c>
      <c r="E31" s="21" t="s">
        <v>211</v>
      </c>
      <c r="F31" s="25"/>
      <c r="I31" s="21" t="s">
        <v>212</v>
      </c>
      <c r="N31" s="40"/>
      <c r="O31" s="41"/>
      <c r="P31" s="41"/>
      <c r="R31" s="41"/>
    </row>
    <row r="32">
      <c r="A32" s="22"/>
      <c r="C32" s="18">
        <f t="shared" si="2"/>
        <v>45651</v>
      </c>
      <c r="D32" s="24">
        <f t="shared" si="1"/>
        <v>45651</v>
      </c>
      <c r="F32" s="25"/>
      <c r="N32" s="40"/>
      <c r="O32" s="41"/>
      <c r="P32" s="41"/>
      <c r="R32" s="41"/>
    </row>
    <row r="33">
      <c r="A33" s="22"/>
      <c r="C33" s="18">
        <f t="shared" si="2"/>
        <v>45652</v>
      </c>
      <c r="D33" s="24">
        <f t="shared" si="1"/>
        <v>45652</v>
      </c>
      <c r="E33" s="28"/>
      <c r="F33" s="28"/>
      <c r="I33" s="21" t="s">
        <v>213</v>
      </c>
      <c r="N33" s="40"/>
      <c r="O33" s="41"/>
      <c r="P33" s="41"/>
      <c r="R33" s="41"/>
    </row>
    <row r="34">
      <c r="A34" s="22"/>
      <c r="C34" s="18">
        <f t="shared" si="2"/>
        <v>45653</v>
      </c>
      <c r="D34" s="24">
        <f t="shared" si="1"/>
        <v>45653</v>
      </c>
      <c r="E34" s="28"/>
      <c r="F34" s="28"/>
      <c r="G34" s="60" t="s">
        <v>54</v>
      </c>
      <c r="I34" s="21" t="s">
        <v>213</v>
      </c>
      <c r="N34" s="40"/>
      <c r="O34" s="41"/>
      <c r="P34" s="41"/>
      <c r="R34" s="41"/>
    </row>
    <row r="35">
      <c r="A35" s="22"/>
      <c r="C35" s="18">
        <f t="shared" si="2"/>
        <v>45654</v>
      </c>
      <c r="D35" s="24">
        <f t="shared" si="1"/>
        <v>45654</v>
      </c>
      <c r="E35" s="28"/>
      <c r="F35" s="28"/>
      <c r="I35" s="21" t="s">
        <v>213</v>
      </c>
      <c r="N35" s="40"/>
      <c r="O35" s="41"/>
      <c r="P35" s="41"/>
      <c r="R35" s="41"/>
    </row>
    <row r="36">
      <c r="A36" s="22"/>
      <c r="B36" s="39"/>
      <c r="C36" s="18">
        <f t="shared" si="2"/>
        <v>45655</v>
      </c>
      <c r="D36" s="24">
        <f t="shared" si="1"/>
        <v>45655</v>
      </c>
      <c r="E36" s="28"/>
      <c r="F36" s="87"/>
      <c r="I36" s="32" t="s">
        <v>213</v>
      </c>
      <c r="N36" s="40"/>
      <c r="O36" s="41"/>
      <c r="P36" s="41"/>
      <c r="R36" s="41"/>
    </row>
    <row r="37">
      <c r="A37" s="22"/>
      <c r="B37" s="34">
        <v>1.0</v>
      </c>
      <c r="C37" s="35">
        <f t="shared" si="2"/>
        <v>45656</v>
      </c>
      <c r="D37" s="36">
        <f t="shared" si="1"/>
        <v>45656</v>
      </c>
      <c r="E37" s="28"/>
      <c r="F37" s="20"/>
      <c r="G37" s="104" t="s">
        <v>54</v>
      </c>
      <c r="H37" s="20"/>
      <c r="I37" s="21" t="s">
        <v>213</v>
      </c>
      <c r="J37" s="20"/>
    </row>
    <row r="38">
      <c r="A38" s="22"/>
      <c r="C38" s="18">
        <f t="shared" si="2"/>
        <v>45657</v>
      </c>
      <c r="D38" s="24">
        <f t="shared" si="1"/>
        <v>45657</v>
      </c>
      <c r="E38" s="25"/>
      <c r="F38" s="66" t="s">
        <v>214</v>
      </c>
    </row>
    <row r="39">
      <c r="A39" s="22"/>
      <c r="C39" s="18">
        <f t="shared" si="2"/>
        <v>45658</v>
      </c>
      <c r="D39" s="24">
        <f t="shared" si="1"/>
        <v>45658</v>
      </c>
    </row>
    <row r="40">
      <c r="A40" s="22"/>
      <c r="C40" s="18">
        <f t="shared" si="2"/>
        <v>45659</v>
      </c>
      <c r="D40" s="24">
        <f t="shared" si="1"/>
        <v>45659</v>
      </c>
    </row>
    <row r="41">
      <c r="A41" s="22"/>
      <c r="C41" s="18">
        <f t="shared" si="2"/>
        <v>45660</v>
      </c>
      <c r="D41" s="24">
        <f t="shared" si="1"/>
        <v>45660</v>
      </c>
    </row>
    <row r="42">
      <c r="A42" s="22"/>
      <c r="C42" s="18">
        <f t="shared" si="2"/>
        <v>45661</v>
      </c>
      <c r="D42" s="24">
        <f t="shared" si="1"/>
        <v>45661</v>
      </c>
    </row>
    <row r="43">
      <c r="A43" s="22"/>
      <c r="B43" s="39"/>
      <c r="C43" s="42">
        <f t="shared" si="2"/>
        <v>45662</v>
      </c>
      <c r="D43" s="43">
        <f t="shared" si="1"/>
        <v>45662</v>
      </c>
      <c r="E43" s="31"/>
      <c r="F43" s="31"/>
      <c r="G43" s="31"/>
      <c r="H43" s="31"/>
      <c r="I43" s="31"/>
      <c r="J43" s="31"/>
    </row>
  </sheetData>
  <autoFilter ref="$C$1:$C$1003">
    <sortState ref="C1:C1003">
      <sortCondition descending="1" sortBy="cellColor" ref="C1:C1003" dxfId="1"/>
    </sortState>
  </autoFilter>
  <mergeCells count="7">
    <mergeCell ref="A2:A43"/>
    <mergeCell ref="B2:B8"/>
    <mergeCell ref="B9:B15"/>
    <mergeCell ref="B16:B22"/>
    <mergeCell ref="B23:B29"/>
    <mergeCell ref="B30:B36"/>
    <mergeCell ref="B37:B43"/>
  </mergeCells>
  <conditionalFormatting sqref="C2:C43">
    <cfRule type="timePeriod" dxfId="2" priority="3" timePeriod="today"/>
  </conditionalFormatting>
  <conditionalFormatting sqref="E2:E32 E38:E43">
    <cfRule type="expression" dxfId="3" priority="4">
      <formula>AND(MONTH($A$1)=MONTH(C2),OR(AND(MOD(WEEKNUM(C2,2),2),ISERROR(MATCH(WEEKDAY(C2,2),$Q$5:$Q$11,0))),AND(MOD(WEEKNUM(C2,2),2)=0,ISERROR(MATCH(WEEKDAY(C2,2),$R$5:$R$11,0)))))</formula>
    </cfRule>
  </conditionalFormatting>
  <conditionalFormatting sqref="F2:F27 F30:F37 F39:F43">
    <cfRule type="expression" dxfId="3" priority="5">
      <formula>AND(MONTH($A$1)=MONTH(C2),OR(AND(MOD(WEEKNUM(C2,2),2),NOT(ISERROR(MATCH(WEEKDAY(C2,2),$Q$5:$Q$11,0)))),AND(MOD(WEEKNUM(C2,2),2)=0,NOT(ISERROR(MATCH(WEEKDAY(C2,2),$R$5:$R$11,0))))))</formula>
    </cfRule>
  </conditionalFormatting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5"/>
    <col customWidth="1" min="3" max="3" width="2.88"/>
    <col customWidth="1" min="4" max="4" width="7.5"/>
    <col customWidth="1" min="5" max="5" width="21.75"/>
    <col customWidth="1" min="6" max="6" width="22.38"/>
    <col customWidth="1" min="7" max="7" width="13.38"/>
    <col customWidth="1" min="8" max="8" width="14.75"/>
    <col customWidth="1" min="9" max="9" width="22.63"/>
    <col customWidth="1" min="10" max="10" width="25.38"/>
    <col customWidth="1" min="14" max="14" width="23.63"/>
    <col customWidth="1" min="16" max="16" width="14.25"/>
  </cols>
  <sheetData>
    <row r="1">
      <c r="A1" s="11">
        <v>45658.0</v>
      </c>
      <c r="B1" s="12" t="s">
        <v>13</v>
      </c>
      <c r="C1" s="13"/>
      <c r="D1" s="14"/>
      <c r="E1" s="15" t="s">
        <v>5</v>
      </c>
      <c r="F1" s="15" t="s">
        <v>14</v>
      </c>
      <c r="G1" s="12"/>
      <c r="H1" s="12"/>
      <c r="I1" s="12" t="s">
        <v>15</v>
      </c>
      <c r="J1" s="12" t="s">
        <v>16</v>
      </c>
    </row>
    <row r="2">
      <c r="A2" s="16">
        <f>A1</f>
        <v>45658</v>
      </c>
      <c r="B2" s="17">
        <f>WEEKNUM(A1)</f>
        <v>1</v>
      </c>
      <c r="C2" s="18">
        <f>A1-WEEKDAY(A1,2)+1</f>
        <v>45656</v>
      </c>
      <c r="D2" s="19">
        <f t="shared" ref="D2:D43" si="1">C2</f>
        <v>45656</v>
      </c>
      <c r="F2" s="20"/>
      <c r="N2" s="21"/>
    </row>
    <row r="3">
      <c r="A3" s="22"/>
      <c r="B3" s="23"/>
      <c r="C3" s="18">
        <f t="shared" ref="C3:C43" si="2">C2+1</f>
        <v>45657</v>
      </c>
      <c r="D3" s="24">
        <f t="shared" si="1"/>
        <v>45657</v>
      </c>
      <c r="N3" s="21"/>
    </row>
    <row r="4">
      <c r="A4" s="22"/>
      <c r="B4" s="23"/>
      <c r="C4" s="18">
        <f t="shared" si="2"/>
        <v>45658</v>
      </c>
      <c r="D4" s="24">
        <f t="shared" si="1"/>
        <v>45658</v>
      </c>
      <c r="E4" s="25"/>
      <c r="F4" s="28"/>
      <c r="N4" s="21"/>
    </row>
    <row r="5">
      <c r="A5" s="22"/>
      <c r="B5" s="23"/>
      <c r="C5" s="18">
        <f t="shared" si="2"/>
        <v>45659</v>
      </c>
      <c r="D5" s="24">
        <f t="shared" si="1"/>
        <v>45659</v>
      </c>
      <c r="E5" s="25"/>
      <c r="F5" s="66" t="s">
        <v>215</v>
      </c>
      <c r="H5" s="21" t="s">
        <v>172</v>
      </c>
      <c r="M5" s="26"/>
      <c r="N5" s="21" t="s">
        <v>17</v>
      </c>
      <c r="Q5" s="27"/>
      <c r="R5" s="27">
        <v>1.0</v>
      </c>
    </row>
    <row r="6">
      <c r="A6" s="22"/>
      <c r="B6" s="23"/>
      <c r="C6" s="18">
        <f t="shared" si="2"/>
        <v>45660</v>
      </c>
      <c r="D6" s="24">
        <f t="shared" si="1"/>
        <v>45660</v>
      </c>
      <c r="E6" s="25"/>
      <c r="H6" s="21" t="s">
        <v>172</v>
      </c>
      <c r="M6" s="28"/>
      <c r="N6" s="21" t="s">
        <v>18</v>
      </c>
      <c r="Q6" s="27"/>
      <c r="R6" s="27">
        <v>2.0</v>
      </c>
    </row>
    <row r="7">
      <c r="A7" s="22"/>
      <c r="B7" s="23"/>
      <c r="C7" s="18">
        <f t="shared" si="2"/>
        <v>45661</v>
      </c>
      <c r="D7" s="24">
        <f t="shared" si="1"/>
        <v>45661</v>
      </c>
      <c r="E7" s="25"/>
      <c r="Q7" s="29"/>
      <c r="R7" s="27">
        <v>3.0</v>
      </c>
    </row>
    <row r="8">
      <c r="A8" s="22"/>
      <c r="B8" s="30"/>
      <c r="C8" s="18">
        <f t="shared" si="2"/>
        <v>45662</v>
      </c>
      <c r="D8" s="24">
        <f t="shared" si="1"/>
        <v>45662</v>
      </c>
      <c r="E8" s="31"/>
      <c r="F8" s="31"/>
      <c r="G8" s="32"/>
      <c r="H8" s="32"/>
      <c r="I8" s="32"/>
      <c r="J8" s="31"/>
      <c r="M8" s="33"/>
      <c r="N8" s="21" t="s">
        <v>19</v>
      </c>
      <c r="Q8" s="29"/>
      <c r="R8" s="27">
        <v>4.0</v>
      </c>
    </row>
    <row r="9">
      <c r="A9" s="22"/>
      <c r="B9" s="34">
        <f>B2+1</f>
        <v>2</v>
      </c>
      <c r="C9" s="105">
        <f t="shared" si="2"/>
        <v>45663</v>
      </c>
      <c r="D9" s="106">
        <f t="shared" si="1"/>
        <v>45663</v>
      </c>
      <c r="F9" s="20"/>
      <c r="G9" s="20"/>
      <c r="H9" s="20"/>
      <c r="I9" s="20"/>
      <c r="J9" s="20"/>
      <c r="M9" s="37"/>
      <c r="N9" s="21" t="s">
        <v>20</v>
      </c>
      <c r="Q9" s="29"/>
      <c r="R9" s="27">
        <v>5.0</v>
      </c>
    </row>
    <row r="10">
      <c r="A10" s="22"/>
      <c r="C10" s="18">
        <f t="shared" si="2"/>
        <v>45664</v>
      </c>
      <c r="D10" s="24">
        <f t="shared" si="1"/>
        <v>45664</v>
      </c>
      <c r="F10" s="25"/>
      <c r="Q10" s="29"/>
      <c r="R10" s="27">
        <v>6.0</v>
      </c>
    </row>
    <row r="11">
      <c r="A11" s="22"/>
      <c r="C11" s="18">
        <f t="shared" si="2"/>
        <v>45665</v>
      </c>
      <c r="D11" s="24">
        <f t="shared" si="1"/>
        <v>45665</v>
      </c>
      <c r="F11" s="25"/>
      <c r="Q11" s="29"/>
      <c r="R11" s="27">
        <v>7.0</v>
      </c>
    </row>
    <row r="12">
      <c r="A12" s="22"/>
      <c r="C12" s="18">
        <f t="shared" si="2"/>
        <v>45666</v>
      </c>
      <c r="D12" s="24">
        <f t="shared" si="1"/>
        <v>45666</v>
      </c>
      <c r="F12" s="25"/>
      <c r="K12" s="38"/>
    </row>
    <row r="13">
      <c r="A13" s="22"/>
      <c r="C13" s="18">
        <f t="shared" si="2"/>
        <v>45667</v>
      </c>
      <c r="D13" s="24">
        <f t="shared" si="1"/>
        <v>45667</v>
      </c>
      <c r="F13" s="25"/>
    </row>
    <row r="14">
      <c r="A14" s="22"/>
      <c r="C14" s="18">
        <f t="shared" si="2"/>
        <v>45668</v>
      </c>
      <c r="D14" s="24">
        <f t="shared" si="1"/>
        <v>45668</v>
      </c>
      <c r="F14" s="25"/>
    </row>
    <row r="15">
      <c r="A15" s="22"/>
      <c r="B15" s="39"/>
      <c r="C15" s="18">
        <f t="shared" si="2"/>
        <v>45669</v>
      </c>
      <c r="D15" s="24">
        <f t="shared" si="1"/>
        <v>45669</v>
      </c>
      <c r="E15" s="31"/>
      <c r="F15" s="31"/>
      <c r="G15" s="31"/>
      <c r="H15" s="31"/>
      <c r="I15" s="31"/>
      <c r="J15" s="31"/>
    </row>
    <row r="16">
      <c r="A16" s="22"/>
      <c r="B16" s="34">
        <f>B9+1</f>
        <v>3</v>
      </c>
      <c r="C16" s="35">
        <f t="shared" si="2"/>
        <v>45670</v>
      </c>
      <c r="D16" s="36">
        <f t="shared" si="1"/>
        <v>45670</v>
      </c>
      <c r="E16" s="25"/>
      <c r="F16" s="80" t="s">
        <v>26</v>
      </c>
      <c r="I16" s="20"/>
      <c r="J16" s="20"/>
      <c r="N16" s="40"/>
      <c r="O16" s="41"/>
      <c r="P16" s="41"/>
      <c r="R16" s="41"/>
    </row>
    <row r="17">
      <c r="A17" s="22"/>
      <c r="C17" s="18">
        <f t="shared" si="2"/>
        <v>45671</v>
      </c>
      <c r="D17" s="24">
        <f t="shared" si="1"/>
        <v>45671</v>
      </c>
      <c r="E17" s="25"/>
      <c r="N17" s="40"/>
      <c r="O17" s="41"/>
      <c r="P17" s="41"/>
      <c r="R17" s="41"/>
    </row>
    <row r="18">
      <c r="A18" s="22"/>
      <c r="C18" s="18">
        <f t="shared" si="2"/>
        <v>45672</v>
      </c>
      <c r="D18" s="24">
        <f t="shared" si="1"/>
        <v>45672</v>
      </c>
      <c r="E18" s="25"/>
      <c r="N18" s="40"/>
      <c r="O18" s="41"/>
      <c r="P18" s="41"/>
      <c r="R18" s="41"/>
    </row>
    <row r="19">
      <c r="A19" s="22"/>
      <c r="C19" s="18">
        <f t="shared" si="2"/>
        <v>45673</v>
      </c>
      <c r="D19" s="24">
        <f t="shared" si="1"/>
        <v>45673</v>
      </c>
      <c r="E19" s="25"/>
      <c r="F19" s="21"/>
      <c r="G19" s="21"/>
      <c r="N19" s="40"/>
      <c r="O19" s="41"/>
      <c r="P19" s="41"/>
      <c r="R19" s="41"/>
    </row>
    <row r="20">
      <c r="A20" s="22"/>
      <c r="C20" s="18">
        <f t="shared" si="2"/>
        <v>45674</v>
      </c>
      <c r="D20" s="24">
        <f t="shared" si="1"/>
        <v>45674</v>
      </c>
      <c r="E20" s="21"/>
      <c r="N20" s="40"/>
      <c r="O20" s="41"/>
      <c r="P20" s="41"/>
      <c r="R20" s="41"/>
    </row>
    <row r="21">
      <c r="A21" s="22"/>
      <c r="C21" s="18">
        <f t="shared" si="2"/>
        <v>45675</v>
      </c>
      <c r="D21" s="24">
        <f t="shared" si="1"/>
        <v>45675</v>
      </c>
      <c r="E21" s="21" t="s">
        <v>216</v>
      </c>
      <c r="N21" s="40"/>
      <c r="O21" s="41"/>
      <c r="P21" s="41"/>
      <c r="R21" s="41"/>
    </row>
    <row r="22">
      <c r="A22" s="22"/>
      <c r="B22" s="39"/>
      <c r="C22" s="18">
        <f t="shared" si="2"/>
        <v>45676</v>
      </c>
      <c r="D22" s="24">
        <f t="shared" si="1"/>
        <v>45676</v>
      </c>
      <c r="E22" s="31"/>
      <c r="F22" s="31"/>
      <c r="G22" s="31"/>
      <c r="H22" s="31"/>
      <c r="I22" s="32"/>
      <c r="J22" s="31"/>
      <c r="N22" s="40"/>
      <c r="O22" s="41"/>
      <c r="P22" s="41"/>
      <c r="R22" s="41"/>
    </row>
    <row r="23">
      <c r="A23" s="22"/>
      <c r="B23" s="34">
        <f>B16+1</f>
        <v>4</v>
      </c>
      <c r="C23" s="35">
        <f t="shared" si="2"/>
        <v>45677</v>
      </c>
      <c r="D23" s="36">
        <f t="shared" si="1"/>
        <v>45677</v>
      </c>
      <c r="F23" s="20"/>
      <c r="G23" s="20"/>
      <c r="H23" s="20"/>
      <c r="J23" s="20"/>
      <c r="N23" s="40"/>
      <c r="O23" s="41"/>
      <c r="P23" s="41"/>
      <c r="R23" s="41"/>
    </row>
    <row r="24">
      <c r="A24" s="22"/>
      <c r="C24" s="18">
        <f t="shared" si="2"/>
        <v>45678</v>
      </c>
      <c r="D24" s="24">
        <f t="shared" si="1"/>
        <v>45678</v>
      </c>
      <c r="F24" s="25"/>
      <c r="N24" s="40"/>
      <c r="O24" s="41"/>
      <c r="P24" s="41"/>
      <c r="R24" s="41"/>
    </row>
    <row r="25">
      <c r="A25" s="22"/>
      <c r="C25" s="18">
        <f t="shared" si="2"/>
        <v>45679</v>
      </c>
      <c r="D25" s="24">
        <f t="shared" si="1"/>
        <v>45679</v>
      </c>
      <c r="F25" s="25"/>
      <c r="N25" s="40"/>
      <c r="O25" s="41"/>
      <c r="P25" s="41"/>
      <c r="R25" s="41"/>
    </row>
    <row r="26">
      <c r="A26" s="22"/>
      <c r="C26" s="18">
        <f t="shared" si="2"/>
        <v>45680</v>
      </c>
      <c r="D26" s="24">
        <f t="shared" si="1"/>
        <v>45680</v>
      </c>
      <c r="F26" s="25"/>
      <c r="N26" s="40"/>
      <c r="O26" s="41"/>
      <c r="P26" s="41"/>
      <c r="R26" s="41"/>
    </row>
    <row r="27">
      <c r="A27" s="22"/>
      <c r="C27" s="18">
        <f t="shared" si="2"/>
        <v>45681</v>
      </c>
      <c r="D27" s="24">
        <f t="shared" si="1"/>
        <v>45681</v>
      </c>
      <c r="F27" s="25"/>
      <c r="N27" s="40"/>
      <c r="O27" s="41"/>
      <c r="P27" s="41"/>
      <c r="R27" s="41"/>
    </row>
    <row r="28">
      <c r="A28" s="22"/>
      <c r="C28" s="18">
        <f t="shared" si="2"/>
        <v>45682</v>
      </c>
      <c r="D28" s="24">
        <f t="shared" si="1"/>
        <v>45682</v>
      </c>
      <c r="F28" s="21" t="s">
        <v>216</v>
      </c>
      <c r="N28" s="40"/>
      <c r="O28" s="41"/>
      <c r="P28" s="41"/>
      <c r="R28" s="41"/>
    </row>
    <row r="29">
      <c r="A29" s="22"/>
      <c r="B29" s="39"/>
      <c r="C29" s="18">
        <f t="shared" si="2"/>
        <v>45683</v>
      </c>
      <c r="D29" s="24">
        <f t="shared" si="1"/>
        <v>45683</v>
      </c>
      <c r="E29" s="31"/>
      <c r="F29" s="32" t="s">
        <v>217</v>
      </c>
      <c r="G29" s="31"/>
      <c r="H29" s="31"/>
      <c r="I29" s="32"/>
      <c r="J29" s="31"/>
      <c r="N29" s="40"/>
      <c r="O29" s="41"/>
      <c r="P29" s="41"/>
      <c r="R29" s="41"/>
    </row>
    <row r="30">
      <c r="A30" s="22"/>
      <c r="B30" s="34">
        <f>B23+1</f>
        <v>5</v>
      </c>
      <c r="C30" s="35">
        <f t="shared" si="2"/>
        <v>45684</v>
      </c>
      <c r="D30" s="36">
        <f t="shared" si="1"/>
        <v>45684</v>
      </c>
      <c r="E30" s="25"/>
      <c r="F30" s="20"/>
      <c r="G30" s="20"/>
      <c r="J30" s="20"/>
      <c r="N30" s="40"/>
      <c r="O30" s="41"/>
      <c r="P30" s="41"/>
      <c r="R30" s="41"/>
    </row>
    <row r="31">
      <c r="A31" s="22"/>
      <c r="C31" s="18">
        <f t="shared" si="2"/>
        <v>45685</v>
      </c>
      <c r="D31" s="24">
        <f t="shared" si="1"/>
        <v>45685</v>
      </c>
      <c r="E31" s="25"/>
      <c r="N31" s="40"/>
      <c r="O31" s="41"/>
      <c r="P31" s="41"/>
      <c r="R31" s="41"/>
    </row>
    <row r="32">
      <c r="A32" s="22"/>
      <c r="C32" s="18">
        <f t="shared" si="2"/>
        <v>45686</v>
      </c>
      <c r="D32" s="24">
        <f t="shared" si="1"/>
        <v>45686</v>
      </c>
      <c r="E32" s="25"/>
      <c r="N32" s="40"/>
      <c r="O32" s="41"/>
      <c r="P32" s="41"/>
      <c r="R32" s="41"/>
    </row>
    <row r="33">
      <c r="A33" s="22"/>
      <c r="C33" s="18">
        <f t="shared" si="2"/>
        <v>45687</v>
      </c>
      <c r="D33" s="24">
        <f t="shared" si="1"/>
        <v>45687</v>
      </c>
      <c r="E33" s="21" t="s">
        <v>218</v>
      </c>
      <c r="F33" s="21" t="s">
        <v>26</v>
      </c>
      <c r="N33" s="40"/>
      <c r="O33" s="41"/>
      <c r="P33" s="41"/>
      <c r="R33" s="41"/>
    </row>
    <row r="34">
      <c r="A34" s="22"/>
      <c r="C34" s="18">
        <f t="shared" si="2"/>
        <v>45688</v>
      </c>
      <c r="D34" s="24">
        <f t="shared" si="1"/>
        <v>45688</v>
      </c>
      <c r="E34" s="21" t="s">
        <v>26</v>
      </c>
      <c r="N34" s="40"/>
      <c r="O34" s="41"/>
      <c r="P34" s="41"/>
      <c r="R34" s="41"/>
    </row>
    <row r="35">
      <c r="A35" s="22"/>
      <c r="C35" s="18">
        <f t="shared" si="2"/>
        <v>45689</v>
      </c>
      <c r="D35" s="24">
        <f t="shared" si="1"/>
        <v>45689</v>
      </c>
      <c r="N35" s="40"/>
      <c r="O35" s="41"/>
      <c r="P35" s="41"/>
      <c r="R35" s="41"/>
    </row>
    <row r="36">
      <c r="A36" s="22"/>
      <c r="B36" s="39"/>
      <c r="C36" s="18">
        <f t="shared" si="2"/>
        <v>45690</v>
      </c>
      <c r="D36" s="24">
        <f t="shared" si="1"/>
        <v>45690</v>
      </c>
      <c r="E36" s="31"/>
      <c r="F36" s="31"/>
      <c r="N36" s="40"/>
      <c r="O36" s="41"/>
      <c r="P36" s="41"/>
      <c r="R36" s="41"/>
    </row>
    <row r="37">
      <c r="A37" s="22"/>
      <c r="B37" s="34">
        <f>B30+1</f>
        <v>6</v>
      </c>
      <c r="C37" s="35">
        <f t="shared" si="2"/>
        <v>45691</v>
      </c>
      <c r="D37" s="36">
        <f t="shared" si="1"/>
        <v>45691</v>
      </c>
      <c r="F37" s="20"/>
      <c r="G37" s="20"/>
      <c r="H37" s="20"/>
      <c r="I37" s="20"/>
      <c r="J37" s="20"/>
    </row>
    <row r="38">
      <c r="A38" s="22"/>
      <c r="C38" s="18">
        <f t="shared" si="2"/>
        <v>45692</v>
      </c>
      <c r="D38" s="24">
        <f t="shared" si="1"/>
        <v>45692</v>
      </c>
    </row>
    <row r="39">
      <c r="A39" s="22"/>
      <c r="C39" s="18">
        <f t="shared" si="2"/>
        <v>45693</v>
      </c>
      <c r="D39" s="24">
        <f t="shared" si="1"/>
        <v>45693</v>
      </c>
    </row>
    <row r="40">
      <c r="A40" s="22"/>
      <c r="C40" s="18">
        <f t="shared" si="2"/>
        <v>45694</v>
      </c>
      <c r="D40" s="24">
        <f t="shared" si="1"/>
        <v>45694</v>
      </c>
    </row>
    <row r="41">
      <c r="A41" s="22"/>
      <c r="C41" s="18">
        <f t="shared" si="2"/>
        <v>45695</v>
      </c>
      <c r="D41" s="24">
        <f t="shared" si="1"/>
        <v>45695</v>
      </c>
    </row>
    <row r="42">
      <c r="A42" s="22"/>
      <c r="C42" s="18">
        <f t="shared" si="2"/>
        <v>45696</v>
      </c>
      <c r="D42" s="24">
        <f t="shared" si="1"/>
        <v>45696</v>
      </c>
    </row>
    <row r="43">
      <c r="A43" s="22"/>
      <c r="B43" s="39"/>
      <c r="C43" s="42">
        <f t="shared" si="2"/>
        <v>45697</v>
      </c>
      <c r="D43" s="43">
        <f t="shared" si="1"/>
        <v>45697</v>
      </c>
      <c r="E43" s="31"/>
      <c r="F43" s="31"/>
      <c r="G43" s="31"/>
      <c r="H43" s="31"/>
      <c r="I43" s="31"/>
      <c r="J43" s="31"/>
    </row>
  </sheetData>
  <autoFilter ref="$C$1:$C$1003">
    <sortState ref="C1:C1003">
      <sortCondition descending="1" sortBy="cellColor" ref="C1:C1003" dxfId="1"/>
    </sortState>
  </autoFilter>
  <mergeCells count="7">
    <mergeCell ref="A2:A43"/>
    <mergeCell ref="B2:B8"/>
    <mergeCell ref="B9:B15"/>
    <mergeCell ref="B16:B22"/>
    <mergeCell ref="B23:B29"/>
    <mergeCell ref="B30:B36"/>
    <mergeCell ref="B37:B43"/>
  </mergeCells>
  <conditionalFormatting sqref="C2:C43">
    <cfRule type="timePeriod" dxfId="2" priority="3" timePeriod="today"/>
  </conditionalFormatting>
  <conditionalFormatting sqref="E2:E43 F28">
    <cfRule type="expression" dxfId="3" priority="4">
      <formula>AND(MONTH($A$1)=MONTH(C2),OR(AND(MOD(WEEKNUM(C2,2),2),ISERROR(MATCH(WEEKDAY(C2,2),$Q$5:$Q$11,0))),AND(MOD(WEEKNUM(C2,2),2)=0,ISERROR(MATCH(WEEKDAY(C2,2),$R$5:$R$11,0)))))</formula>
    </cfRule>
  </conditionalFormatting>
  <conditionalFormatting sqref="F2:F3 F6:F43">
    <cfRule type="expression" dxfId="3" priority="5">
      <formula>AND(MONTH($A$1)=MONTH(C2),OR(AND(MOD(WEEKNUM(C2,2),2),NOT(ISERROR(MATCH(WEEKDAY(C2,2),$Q$5:$Q$11,0)))),AND(MOD(WEEKNUM(C2,2),2)=0,NOT(ISERROR(MATCH(WEEKDAY(C2,2),$R$5:$R$11,0))))))</formula>
    </cfRule>
  </conditionalFormatting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5"/>
    <col customWidth="1" min="3" max="3" width="2.88"/>
    <col customWidth="1" min="4" max="4" width="7.5"/>
    <col customWidth="1" min="5" max="5" width="20.38"/>
    <col customWidth="1" min="6" max="6" width="23.63"/>
    <col customWidth="1" min="7" max="7" width="25.88"/>
    <col customWidth="1" min="8" max="8" width="13.38"/>
    <col customWidth="1" min="9" max="9" width="22.63"/>
    <col customWidth="1" min="10" max="10" width="27.25"/>
    <col customWidth="1" min="14" max="14" width="23.63"/>
    <col customWidth="1" min="16" max="16" width="14.25"/>
  </cols>
  <sheetData>
    <row r="1">
      <c r="A1" s="11">
        <v>45689.0</v>
      </c>
      <c r="B1" s="12" t="s">
        <v>13</v>
      </c>
      <c r="C1" s="13"/>
      <c r="D1" s="14"/>
      <c r="E1" s="15" t="s">
        <v>5</v>
      </c>
      <c r="F1" s="15" t="s">
        <v>14</v>
      </c>
      <c r="G1" s="12"/>
      <c r="H1" s="12"/>
      <c r="I1" s="12" t="s">
        <v>15</v>
      </c>
      <c r="J1" s="12" t="s">
        <v>16</v>
      </c>
    </row>
    <row r="2">
      <c r="A2" s="16">
        <f>A1</f>
        <v>45689</v>
      </c>
      <c r="B2" s="17">
        <f>WEEKNUM(A1)</f>
        <v>5</v>
      </c>
      <c r="C2" s="18">
        <f>A1-WEEKDAY(A1,2)+1</f>
        <v>45684</v>
      </c>
      <c r="D2" s="19">
        <f t="shared" ref="D2:D43" si="1">C2</f>
        <v>45684</v>
      </c>
      <c r="F2" s="20"/>
      <c r="N2" s="21"/>
    </row>
    <row r="3">
      <c r="A3" s="22"/>
      <c r="B3" s="23"/>
      <c r="C3" s="18">
        <f t="shared" ref="C3:C43" si="2">C2+1</f>
        <v>45685</v>
      </c>
      <c r="D3" s="24">
        <f t="shared" si="1"/>
        <v>45685</v>
      </c>
      <c r="N3" s="21"/>
    </row>
    <row r="4">
      <c r="A4" s="22"/>
      <c r="B4" s="23"/>
      <c r="C4" s="18">
        <f t="shared" si="2"/>
        <v>45686</v>
      </c>
      <c r="D4" s="24">
        <f t="shared" si="1"/>
        <v>45686</v>
      </c>
      <c r="N4" s="21"/>
    </row>
    <row r="5">
      <c r="A5" s="22"/>
      <c r="B5" s="23"/>
      <c r="C5" s="18">
        <f t="shared" si="2"/>
        <v>45687</v>
      </c>
      <c r="D5" s="24">
        <f t="shared" si="1"/>
        <v>45687</v>
      </c>
      <c r="M5" s="26"/>
      <c r="N5" s="21" t="s">
        <v>17</v>
      </c>
      <c r="Q5" s="27"/>
      <c r="R5" s="27">
        <v>1.0</v>
      </c>
    </row>
    <row r="6">
      <c r="A6" s="22"/>
      <c r="B6" s="23"/>
      <c r="C6" s="18">
        <f t="shared" si="2"/>
        <v>45688</v>
      </c>
      <c r="D6" s="24">
        <f t="shared" si="1"/>
        <v>45688</v>
      </c>
      <c r="M6" s="28"/>
      <c r="N6" s="21" t="s">
        <v>18</v>
      </c>
      <c r="Q6" s="27"/>
      <c r="R6" s="27">
        <v>2.0</v>
      </c>
    </row>
    <row r="7">
      <c r="A7" s="22"/>
      <c r="B7" s="23"/>
      <c r="C7" s="18">
        <f t="shared" si="2"/>
        <v>45689</v>
      </c>
      <c r="D7" s="24">
        <f t="shared" si="1"/>
        <v>45689</v>
      </c>
      <c r="E7" s="21" t="s">
        <v>216</v>
      </c>
      <c r="Q7" s="29"/>
      <c r="R7" s="27">
        <v>3.0</v>
      </c>
    </row>
    <row r="8">
      <c r="A8" s="22"/>
      <c r="B8" s="30"/>
      <c r="C8" s="18">
        <f t="shared" si="2"/>
        <v>45690</v>
      </c>
      <c r="D8" s="24">
        <f t="shared" si="1"/>
        <v>45690</v>
      </c>
      <c r="E8" s="31"/>
      <c r="F8" s="31"/>
      <c r="G8" s="32"/>
      <c r="H8" s="32"/>
      <c r="I8" s="32"/>
      <c r="J8" s="31"/>
      <c r="M8" s="33"/>
      <c r="N8" s="21" t="s">
        <v>19</v>
      </c>
      <c r="Q8" s="29"/>
      <c r="R8" s="27">
        <v>4.0</v>
      </c>
    </row>
    <row r="9">
      <c r="A9" s="22"/>
      <c r="B9" s="34">
        <f>B2+1</f>
        <v>6</v>
      </c>
      <c r="C9" s="35">
        <f t="shared" si="2"/>
        <v>45691</v>
      </c>
      <c r="D9" s="36">
        <f t="shared" si="1"/>
        <v>45691</v>
      </c>
      <c r="F9" s="20"/>
      <c r="G9" s="20"/>
      <c r="H9" s="20"/>
      <c r="I9" s="20"/>
      <c r="J9" s="20"/>
      <c r="M9" s="37"/>
      <c r="N9" s="21" t="s">
        <v>20</v>
      </c>
      <c r="Q9" s="29"/>
      <c r="R9" s="27">
        <v>5.0</v>
      </c>
    </row>
    <row r="10">
      <c r="A10" s="22"/>
      <c r="C10" s="18">
        <f t="shared" si="2"/>
        <v>45692</v>
      </c>
      <c r="D10" s="24">
        <f t="shared" si="1"/>
        <v>45692</v>
      </c>
      <c r="F10" s="25"/>
      <c r="Q10" s="29"/>
      <c r="R10" s="27">
        <v>6.0</v>
      </c>
    </row>
    <row r="11">
      <c r="A11" s="22"/>
      <c r="C11" s="18">
        <f t="shared" si="2"/>
        <v>45693</v>
      </c>
      <c r="D11" s="24">
        <f t="shared" si="1"/>
        <v>45693</v>
      </c>
      <c r="F11" s="25"/>
      <c r="Q11" s="29"/>
      <c r="R11" s="27">
        <v>7.0</v>
      </c>
    </row>
    <row r="12">
      <c r="A12" s="22"/>
      <c r="C12" s="18">
        <f t="shared" si="2"/>
        <v>45694</v>
      </c>
      <c r="D12" s="24">
        <f t="shared" si="1"/>
        <v>45694</v>
      </c>
      <c r="F12" s="21" t="s">
        <v>26</v>
      </c>
      <c r="K12" s="38"/>
    </row>
    <row r="13">
      <c r="A13" s="22"/>
      <c r="C13" s="18">
        <f t="shared" si="2"/>
        <v>45695</v>
      </c>
      <c r="D13" s="24">
        <f t="shared" si="1"/>
        <v>45695</v>
      </c>
      <c r="F13" s="21" t="s">
        <v>26</v>
      </c>
    </row>
    <row r="14">
      <c r="A14" s="22"/>
      <c r="C14" s="18">
        <f t="shared" si="2"/>
        <v>45696</v>
      </c>
      <c r="D14" s="24">
        <f t="shared" si="1"/>
        <v>45696</v>
      </c>
      <c r="F14" s="21" t="s">
        <v>216</v>
      </c>
    </row>
    <row r="15">
      <c r="A15" s="22"/>
      <c r="B15" s="39"/>
      <c r="C15" s="18">
        <f t="shared" si="2"/>
        <v>45697</v>
      </c>
      <c r="D15" s="24">
        <f t="shared" si="1"/>
        <v>45697</v>
      </c>
      <c r="E15" s="31"/>
      <c r="F15" s="31"/>
      <c r="G15" s="31"/>
      <c r="H15" s="31"/>
      <c r="I15" s="31"/>
      <c r="J15" s="31"/>
    </row>
    <row r="16">
      <c r="A16" s="22"/>
      <c r="B16" s="34">
        <f>B9+1</f>
        <v>7</v>
      </c>
      <c r="C16" s="35">
        <f t="shared" si="2"/>
        <v>45698</v>
      </c>
      <c r="D16" s="36">
        <f t="shared" si="1"/>
        <v>45698</v>
      </c>
      <c r="E16" s="25"/>
      <c r="F16" s="80" t="s">
        <v>26</v>
      </c>
      <c r="G16" s="21" t="s">
        <v>219</v>
      </c>
      <c r="I16" s="20"/>
      <c r="J16" s="20"/>
      <c r="N16" s="40"/>
      <c r="O16" s="41"/>
      <c r="P16" s="41"/>
      <c r="R16" s="41"/>
    </row>
    <row r="17">
      <c r="A17" s="22"/>
      <c r="C17" s="18">
        <f t="shared" si="2"/>
        <v>45699</v>
      </c>
      <c r="D17" s="24">
        <f t="shared" si="1"/>
        <v>45699</v>
      </c>
      <c r="E17" s="25"/>
      <c r="N17" s="40"/>
      <c r="O17" s="41"/>
      <c r="P17" s="41"/>
      <c r="R17" s="41"/>
    </row>
    <row r="18">
      <c r="A18" s="22"/>
      <c r="C18" s="18">
        <f t="shared" si="2"/>
        <v>45700</v>
      </c>
      <c r="D18" s="24">
        <f t="shared" si="1"/>
        <v>45700</v>
      </c>
      <c r="E18" s="25"/>
      <c r="N18" s="40"/>
      <c r="O18" s="41"/>
      <c r="P18" s="41"/>
      <c r="R18" s="41"/>
    </row>
    <row r="19">
      <c r="A19" s="22"/>
      <c r="C19" s="18">
        <f t="shared" si="2"/>
        <v>45701</v>
      </c>
      <c r="D19" s="24">
        <f t="shared" si="1"/>
        <v>45701</v>
      </c>
      <c r="E19" s="25"/>
      <c r="G19" s="21"/>
      <c r="N19" s="40"/>
      <c r="O19" s="41"/>
      <c r="P19" s="41"/>
      <c r="R19" s="41"/>
    </row>
    <row r="20">
      <c r="A20" s="22"/>
      <c r="C20" s="18">
        <f t="shared" si="2"/>
        <v>45702</v>
      </c>
      <c r="D20" s="24">
        <f t="shared" si="1"/>
        <v>45702</v>
      </c>
      <c r="E20" s="25"/>
      <c r="N20" s="40"/>
      <c r="O20" s="41"/>
      <c r="P20" s="41"/>
      <c r="R20" s="41"/>
    </row>
    <row r="21">
      <c r="A21" s="22"/>
      <c r="C21" s="18">
        <f t="shared" si="2"/>
        <v>45703</v>
      </c>
      <c r="D21" s="24">
        <f t="shared" si="1"/>
        <v>45703</v>
      </c>
      <c r="E21" s="21" t="s">
        <v>216</v>
      </c>
      <c r="N21" s="40"/>
      <c r="O21" s="41"/>
      <c r="P21" s="41"/>
      <c r="R21" s="41"/>
    </row>
    <row r="22">
      <c r="A22" s="22"/>
      <c r="B22" s="39"/>
      <c r="C22" s="18">
        <f t="shared" si="2"/>
        <v>45704</v>
      </c>
      <c r="D22" s="24">
        <f t="shared" si="1"/>
        <v>45704</v>
      </c>
      <c r="E22" s="31"/>
      <c r="F22" s="31"/>
      <c r="G22" s="31"/>
      <c r="H22" s="31"/>
      <c r="I22" s="32"/>
      <c r="J22" s="31"/>
      <c r="N22" s="40"/>
      <c r="O22" s="41"/>
      <c r="P22" s="41"/>
      <c r="R22" s="41"/>
    </row>
    <row r="23">
      <c r="A23" s="22"/>
      <c r="B23" s="34">
        <f>B16+1</f>
        <v>8</v>
      </c>
      <c r="C23" s="35">
        <f t="shared" si="2"/>
        <v>45705</v>
      </c>
      <c r="D23" s="36">
        <f t="shared" si="1"/>
        <v>45705</v>
      </c>
      <c r="F23" s="80" t="s">
        <v>220</v>
      </c>
      <c r="G23" s="20"/>
      <c r="H23" s="20"/>
      <c r="J23" s="20"/>
      <c r="N23" s="40"/>
      <c r="O23" s="41"/>
      <c r="P23" s="41"/>
      <c r="R23" s="41"/>
    </row>
    <row r="24">
      <c r="A24" s="22"/>
      <c r="C24" s="18">
        <f t="shared" si="2"/>
        <v>45706</v>
      </c>
      <c r="D24" s="24">
        <f t="shared" si="1"/>
        <v>45706</v>
      </c>
      <c r="F24" s="25"/>
      <c r="N24" s="40"/>
      <c r="O24" s="41"/>
      <c r="P24" s="41"/>
      <c r="R24" s="41"/>
    </row>
    <row r="25">
      <c r="A25" s="22"/>
      <c r="C25" s="18">
        <f t="shared" si="2"/>
        <v>45707</v>
      </c>
      <c r="D25" s="24">
        <f t="shared" si="1"/>
        <v>45707</v>
      </c>
      <c r="F25" s="25"/>
      <c r="N25" s="40"/>
      <c r="O25" s="41"/>
      <c r="P25" s="41"/>
      <c r="R25" s="41"/>
    </row>
    <row r="26">
      <c r="A26" s="22"/>
      <c r="C26" s="18">
        <f t="shared" si="2"/>
        <v>45708</v>
      </c>
      <c r="D26" s="24">
        <f t="shared" si="1"/>
        <v>45708</v>
      </c>
      <c r="F26" s="21" t="s">
        <v>221</v>
      </c>
      <c r="N26" s="40"/>
      <c r="O26" s="41"/>
      <c r="P26" s="41"/>
      <c r="R26" s="41"/>
    </row>
    <row r="27">
      <c r="A27" s="22"/>
      <c r="C27" s="18">
        <f t="shared" si="2"/>
        <v>45709</v>
      </c>
      <c r="D27" s="24">
        <f t="shared" si="1"/>
        <v>45709</v>
      </c>
      <c r="F27" s="25"/>
      <c r="N27" s="40"/>
      <c r="O27" s="41"/>
      <c r="P27" s="41"/>
      <c r="R27" s="41"/>
    </row>
    <row r="28">
      <c r="A28" s="22"/>
      <c r="C28" s="18">
        <f t="shared" si="2"/>
        <v>45710</v>
      </c>
      <c r="D28" s="24">
        <f t="shared" si="1"/>
        <v>45710</v>
      </c>
      <c r="E28" s="66" t="s">
        <v>222</v>
      </c>
      <c r="F28" s="66" t="s">
        <v>216</v>
      </c>
      <c r="I28" s="21" t="s">
        <v>223</v>
      </c>
      <c r="J28" s="21" t="s">
        <v>224</v>
      </c>
      <c r="N28" s="40"/>
      <c r="O28" s="41"/>
      <c r="P28" s="41"/>
      <c r="R28" s="41"/>
    </row>
    <row r="29">
      <c r="A29" s="22"/>
      <c r="B29" s="39"/>
      <c r="C29" s="18">
        <f t="shared" si="2"/>
        <v>45711</v>
      </c>
      <c r="D29" s="24">
        <f t="shared" si="1"/>
        <v>45711</v>
      </c>
      <c r="E29" s="32" t="s">
        <v>222</v>
      </c>
      <c r="F29" s="31"/>
      <c r="G29" s="31"/>
      <c r="H29" s="31"/>
      <c r="I29" s="32" t="s">
        <v>223</v>
      </c>
      <c r="J29" s="31"/>
      <c r="N29" s="40"/>
      <c r="O29" s="41"/>
      <c r="P29" s="41"/>
      <c r="R29" s="41"/>
    </row>
    <row r="30">
      <c r="A30" s="22"/>
      <c r="B30" s="34">
        <f>B23+1</f>
        <v>9</v>
      </c>
      <c r="C30" s="35">
        <f t="shared" si="2"/>
        <v>45712</v>
      </c>
      <c r="D30" s="36">
        <f t="shared" si="1"/>
        <v>45712</v>
      </c>
      <c r="E30" s="21" t="s">
        <v>222</v>
      </c>
      <c r="F30" s="20"/>
      <c r="G30" s="20"/>
      <c r="I30" s="21" t="s">
        <v>223</v>
      </c>
      <c r="J30" s="20"/>
      <c r="N30" s="40"/>
      <c r="O30" s="41"/>
      <c r="P30" s="41"/>
      <c r="R30" s="41"/>
    </row>
    <row r="31">
      <c r="A31" s="22"/>
      <c r="C31" s="18">
        <f t="shared" si="2"/>
        <v>45713</v>
      </c>
      <c r="D31" s="24">
        <f t="shared" si="1"/>
        <v>45713</v>
      </c>
      <c r="E31" s="21" t="s">
        <v>222</v>
      </c>
      <c r="I31" s="21" t="s">
        <v>223</v>
      </c>
      <c r="N31" s="40"/>
      <c r="O31" s="41"/>
      <c r="P31" s="41"/>
      <c r="R31" s="41"/>
    </row>
    <row r="32">
      <c r="A32" s="22"/>
      <c r="C32" s="18">
        <f t="shared" si="2"/>
        <v>45714</v>
      </c>
      <c r="D32" s="24">
        <f t="shared" si="1"/>
        <v>45714</v>
      </c>
      <c r="E32" s="21" t="s">
        <v>222</v>
      </c>
      <c r="I32" s="21" t="s">
        <v>223</v>
      </c>
      <c r="N32" s="40"/>
      <c r="O32" s="41"/>
      <c r="P32" s="41"/>
      <c r="R32" s="41"/>
    </row>
    <row r="33">
      <c r="A33" s="22"/>
      <c r="C33" s="18">
        <f t="shared" si="2"/>
        <v>45715</v>
      </c>
      <c r="D33" s="24">
        <f t="shared" si="1"/>
        <v>45715</v>
      </c>
      <c r="E33" s="21" t="s">
        <v>222</v>
      </c>
      <c r="I33" s="21" t="s">
        <v>223</v>
      </c>
      <c r="N33" s="40"/>
      <c r="O33" s="41"/>
      <c r="P33" s="41"/>
      <c r="R33" s="41"/>
    </row>
    <row r="34">
      <c r="A34" s="22"/>
      <c r="C34" s="18">
        <f t="shared" si="2"/>
        <v>45716</v>
      </c>
      <c r="D34" s="24">
        <f t="shared" si="1"/>
        <v>45716</v>
      </c>
      <c r="E34" s="21" t="s">
        <v>222</v>
      </c>
      <c r="I34" s="21" t="s">
        <v>223</v>
      </c>
      <c r="N34" s="40"/>
      <c r="O34" s="41"/>
      <c r="P34" s="41"/>
      <c r="R34" s="41"/>
    </row>
    <row r="35">
      <c r="A35" s="22"/>
      <c r="C35" s="18">
        <f t="shared" si="2"/>
        <v>45717</v>
      </c>
      <c r="D35" s="24">
        <f t="shared" si="1"/>
        <v>45717</v>
      </c>
      <c r="N35" s="40"/>
      <c r="O35" s="41"/>
      <c r="P35" s="41"/>
      <c r="R35" s="41"/>
    </row>
    <row r="36">
      <c r="A36" s="22"/>
      <c r="B36" s="39"/>
      <c r="C36" s="18">
        <f t="shared" si="2"/>
        <v>45718</v>
      </c>
      <c r="D36" s="24">
        <f t="shared" si="1"/>
        <v>45718</v>
      </c>
      <c r="E36" s="31"/>
      <c r="F36" s="31"/>
      <c r="N36" s="40"/>
      <c r="O36" s="41"/>
      <c r="P36" s="41"/>
      <c r="R36" s="41"/>
    </row>
    <row r="37">
      <c r="A37" s="22"/>
      <c r="B37" s="34">
        <f>B30+1</f>
        <v>10</v>
      </c>
      <c r="C37" s="35">
        <f t="shared" si="2"/>
        <v>45719</v>
      </c>
      <c r="D37" s="36">
        <f t="shared" si="1"/>
        <v>45719</v>
      </c>
      <c r="F37" s="20"/>
      <c r="G37" s="20"/>
      <c r="H37" s="20"/>
      <c r="I37" s="20"/>
      <c r="J37" s="20"/>
    </row>
    <row r="38">
      <c r="A38" s="22"/>
      <c r="C38" s="18">
        <f t="shared" si="2"/>
        <v>45720</v>
      </c>
      <c r="D38" s="24">
        <f t="shared" si="1"/>
        <v>45720</v>
      </c>
    </row>
    <row r="39">
      <c r="A39" s="22"/>
      <c r="C39" s="18">
        <f t="shared" si="2"/>
        <v>45721</v>
      </c>
      <c r="D39" s="24">
        <f t="shared" si="1"/>
        <v>45721</v>
      </c>
    </row>
    <row r="40">
      <c r="A40" s="22"/>
      <c r="C40" s="18">
        <f t="shared" si="2"/>
        <v>45722</v>
      </c>
      <c r="D40" s="24">
        <f t="shared" si="1"/>
        <v>45722</v>
      </c>
    </row>
    <row r="41">
      <c r="A41" s="22"/>
      <c r="C41" s="18">
        <f t="shared" si="2"/>
        <v>45723</v>
      </c>
      <c r="D41" s="24">
        <f t="shared" si="1"/>
        <v>45723</v>
      </c>
    </row>
    <row r="42">
      <c r="A42" s="22"/>
      <c r="C42" s="18">
        <f t="shared" si="2"/>
        <v>45724</v>
      </c>
      <c r="D42" s="24">
        <f t="shared" si="1"/>
        <v>45724</v>
      </c>
    </row>
    <row r="43">
      <c r="A43" s="22"/>
      <c r="B43" s="39"/>
      <c r="C43" s="42">
        <f t="shared" si="2"/>
        <v>45725</v>
      </c>
      <c r="D43" s="43">
        <f t="shared" si="1"/>
        <v>45725</v>
      </c>
      <c r="E43" s="31"/>
      <c r="F43" s="31"/>
      <c r="G43" s="31"/>
      <c r="H43" s="31"/>
      <c r="I43" s="31"/>
      <c r="J43" s="31"/>
    </row>
  </sheetData>
  <autoFilter ref="$C$1:$C$1003">
    <sortState ref="C1:C1003">
      <sortCondition descending="1" sortBy="cellColor" ref="C1:C1003" dxfId="1"/>
    </sortState>
  </autoFilter>
  <mergeCells count="7">
    <mergeCell ref="A2:A43"/>
    <mergeCell ref="B2:B8"/>
    <mergeCell ref="B9:B15"/>
    <mergeCell ref="B16:B22"/>
    <mergeCell ref="B23:B29"/>
    <mergeCell ref="B30:B36"/>
    <mergeCell ref="B37:B43"/>
  </mergeCells>
  <conditionalFormatting sqref="E28:E29">
    <cfRule type="expression" dxfId="3" priority="1">
      <formula>AND(MONTH($A$1)=MONTH(C28),OR(AND(MOD(WEEKNUM(C28,2),2),NOT(ISERROR(MATCH(WEEKDAY(C28,2),$Q$5:$Q$11,0)))),AND(MOD(WEEKNUM(C28,2),2)=0,NOT(ISERROR(MATCH(WEEKDAY(C28,2),$R$5:$R$11,0))))))</formula>
    </cfRule>
  </conditionalFormatting>
  <conditionalFormatting sqref="C2:C43">
    <cfRule type="timePeriod" dxfId="2" priority="4" timePeriod="today"/>
  </conditionalFormatting>
  <conditionalFormatting sqref="E2:E43 F14 F28">
    <cfRule type="expression" dxfId="3" priority="5">
      <formula>AND(MONTH($A$1)=MONTH(C2),OR(AND(MOD(WEEKNUM(C2,2),2),ISERROR(MATCH(WEEKDAY(C2,2),$Q$5:$Q$11,0))),AND(MOD(WEEKNUM(C2,2),2)=0,ISERROR(MATCH(WEEKDAY(C2,2),$R$5:$R$11,0)))))</formula>
    </cfRule>
  </conditionalFormatting>
  <conditionalFormatting sqref="F2:F27 E7 E21 E29 F30:F43">
    <cfRule type="expression" dxfId="3" priority="6">
      <formula>AND(MONTH($A$1)=MONTH(C2),OR(AND(MOD(WEEKNUM(C2,2),2),NOT(ISERROR(MATCH(WEEKDAY(C2,2),$Q$5:$Q$11,0)))),AND(MOD(WEEKNUM(C2,2),2)=0,NOT(ISERROR(MATCH(WEEKDAY(C2,2),$R$5:$R$11,0))))))</formula>
    </cfRule>
  </conditionalFormatting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5"/>
    <col customWidth="1" min="3" max="3" width="2.88"/>
    <col customWidth="1" min="4" max="4" width="7.5"/>
    <col customWidth="1" min="5" max="5" width="22.25"/>
    <col customWidth="1" min="6" max="6" width="20.38"/>
    <col customWidth="1" min="7" max="7" width="13.38"/>
    <col customWidth="1" min="8" max="8" width="23.0"/>
    <col customWidth="1" min="9" max="9" width="22.63"/>
    <col customWidth="1" min="10" max="10" width="25.38"/>
    <col customWidth="1" min="14" max="14" width="23.63"/>
    <col customWidth="1" min="16" max="16" width="14.25"/>
  </cols>
  <sheetData>
    <row r="1">
      <c r="A1" s="11">
        <v>45717.0</v>
      </c>
      <c r="B1" s="12" t="s">
        <v>13</v>
      </c>
      <c r="C1" s="13"/>
      <c r="D1" s="14"/>
      <c r="E1" s="15" t="s">
        <v>5</v>
      </c>
      <c r="F1" s="15" t="s">
        <v>14</v>
      </c>
      <c r="G1" s="12"/>
      <c r="H1" s="12"/>
      <c r="I1" s="12" t="s">
        <v>15</v>
      </c>
      <c r="J1" s="12" t="s">
        <v>16</v>
      </c>
    </row>
    <row r="2">
      <c r="A2" s="16">
        <f>A1</f>
        <v>45717</v>
      </c>
      <c r="B2" s="17">
        <f>WEEKNUM(A1)</f>
        <v>9</v>
      </c>
      <c r="C2" s="18">
        <f>A1-WEEKDAY(A1,2)+1</f>
        <v>45712</v>
      </c>
      <c r="D2" s="19">
        <f t="shared" ref="D2:D43" si="1">C2</f>
        <v>45712</v>
      </c>
      <c r="F2" s="20"/>
      <c r="N2" s="21"/>
    </row>
    <row r="3">
      <c r="A3" s="22"/>
      <c r="B3" s="23"/>
      <c r="C3" s="18">
        <f t="shared" ref="C3:C43" si="2">C2+1</f>
        <v>45713</v>
      </c>
      <c r="D3" s="24">
        <f t="shared" si="1"/>
        <v>45713</v>
      </c>
      <c r="N3" s="21"/>
    </row>
    <row r="4">
      <c r="A4" s="22"/>
      <c r="B4" s="23"/>
      <c r="C4" s="18">
        <f t="shared" si="2"/>
        <v>45714</v>
      </c>
      <c r="D4" s="24">
        <f t="shared" si="1"/>
        <v>45714</v>
      </c>
      <c r="N4" s="21"/>
    </row>
    <row r="5">
      <c r="A5" s="22"/>
      <c r="B5" s="23"/>
      <c r="C5" s="18">
        <f t="shared" si="2"/>
        <v>45715</v>
      </c>
      <c r="D5" s="24">
        <f t="shared" si="1"/>
        <v>45715</v>
      </c>
      <c r="M5" s="26"/>
      <c r="N5" s="21" t="s">
        <v>17</v>
      </c>
      <c r="Q5" s="27"/>
      <c r="R5" s="27">
        <v>1.0</v>
      </c>
    </row>
    <row r="6">
      <c r="A6" s="22"/>
      <c r="B6" s="23"/>
      <c r="C6" s="18">
        <f t="shared" si="2"/>
        <v>45716</v>
      </c>
      <c r="D6" s="24">
        <f t="shared" si="1"/>
        <v>45716</v>
      </c>
      <c r="M6" s="28"/>
      <c r="N6" s="21" t="s">
        <v>18</v>
      </c>
      <c r="Q6" s="27"/>
      <c r="R6" s="27">
        <v>2.0</v>
      </c>
    </row>
    <row r="7">
      <c r="A7" s="22"/>
      <c r="B7" s="23"/>
      <c r="C7" s="18">
        <f t="shared" si="2"/>
        <v>45717</v>
      </c>
      <c r="D7" s="24">
        <f t="shared" si="1"/>
        <v>45717</v>
      </c>
      <c r="E7" s="21" t="s">
        <v>225</v>
      </c>
      <c r="I7" s="21" t="s">
        <v>223</v>
      </c>
      <c r="Q7" s="29"/>
      <c r="R7" s="27">
        <v>3.0</v>
      </c>
    </row>
    <row r="8">
      <c r="A8" s="22"/>
      <c r="B8" s="30"/>
      <c r="C8" s="18">
        <f t="shared" si="2"/>
        <v>45718</v>
      </c>
      <c r="D8" s="24">
        <f t="shared" si="1"/>
        <v>45718</v>
      </c>
      <c r="E8" s="87"/>
      <c r="F8" s="26"/>
      <c r="G8" s="32"/>
      <c r="H8" s="32"/>
      <c r="I8" s="32"/>
      <c r="J8" s="32" t="s">
        <v>226</v>
      </c>
      <c r="M8" s="33"/>
      <c r="N8" s="21" t="s">
        <v>19</v>
      </c>
      <c r="Q8" s="29"/>
      <c r="R8" s="27">
        <v>4.0</v>
      </c>
    </row>
    <row r="9">
      <c r="A9" s="22"/>
      <c r="B9" s="34">
        <f>B2+1</f>
        <v>10</v>
      </c>
      <c r="C9" s="35">
        <f t="shared" si="2"/>
        <v>45719</v>
      </c>
      <c r="D9" s="36">
        <f t="shared" si="1"/>
        <v>45719</v>
      </c>
      <c r="F9" s="20"/>
      <c r="G9" s="20"/>
      <c r="H9" s="20"/>
      <c r="I9" s="20"/>
      <c r="J9" s="20"/>
      <c r="M9" s="37"/>
      <c r="N9" s="21" t="s">
        <v>20</v>
      </c>
      <c r="Q9" s="29"/>
      <c r="R9" s="27">
        <v>5.0</v>
      </c>
    </row>
    <row r="10">
      <c r="A10" s="22"/>
      <c r="C10" s="18">
        <f t="shared" si="2"/>
        <v>45720</v>
      </c>
      <c r="D10" s="24">
        <f t="shared" si="1"/>
        <v>45720</v>
      </c>
      <c r="F10" s="25"/>
      <c r="Q10" s="29"/>
      <c r="R10" s="27">
        <v>6.0</v>
      </c>
    </row>
    <row r="11">
      <c r="A11" s="22"/>
      <c r="C11" s="18">
        <f t="shared" si="2"/>
        <v>45721</v>
      </c>
      <c r="D11" s="24">
        <f t="shared" si="1"/>
        <v>45721</v>
      </c>
      <c r="F11" s="25"/>
      <c r="Q11" s="29"/>
      <c r="R11" s="27">
        <v>7.0</v>
      </c>
    </row>
    <row r="12">
      <c r="A12" s="22"/>
      <c r="C12" s="18">
        <f t="shared" si="2"/>
        <v>45722</v>
      </c>
      <c r="D12" s="24">
        <f t="shared" si="1"/>
        <v>45722</v>
      </c>
      <c r="F12" s="25"/>
      <c r="K12" s="38"/>
    </row>
    <row r="13">
      <c r="A13" s="22"/>
      <c r="C13" s="18">
        <f t="shared" si="2"/>
        <v>45723</v>
      </c>
      <c r="D13" s="24">
        <f t="shared" si="1"/>
        <v>45723</v>
      </c>
      <c r="F13" s="25"/>
    </row>
    <row r="14">
      <c r="A14" s="22"/>
      <c r="C14" s="18">
        <f t="shared" si="2"/>
        <v>45724</v>
      </c>
      <c r="D14" s="24">
        <f t="shared" si="1"/>
        <v>45724</v>
      </c>
      <c r="F14" s="21" t="s">
        <v>216</v>
      </c>
    </row>
    <row r="15">
      <c r="A15" s="22"/>
      <c r="B15" s="39"/>
      <c r="C15" s="18">
        <f t="shared" si="2"/>
        <v>45725</v>
      </c>
      <c r="D15" s="24">
        <f t="shared" si="1"/>
        <v>45725</v>
      </c>
      <c r="E15" s="31"/>
      <c r="F15" s="31"/>
      <c r="G15" s="31"/>
      <c r="H15" s="31"/>
      <c r="I15" s="31"/>
      <c r="J15" s="31"/>
    </row>
    <row r="16">
      <c r="A16" s="22"/>
      <c r="B16" s="34">
        <f>B9+1</f>
        <v>11</v>
      </c>
      <c r="C16" s="35">
        <f t="shared" si="2"/>
        <v>45726</v>
      </c>
      <c r="D16" s="36">
        <f t="shared" si="1"/>
        <v>45726</v>
      </c>
      <c r="E16" s="25"/>
      <c r="F16" s="20"/>
      <c r="I16" s="20"/>
      <c r="J16" s="20"/>
      <c r="N16" s="40"/>
      <c r="O16" s="41"/>
      <c r="P16" s="41"/>
      <c r="R16" s="41"/>
    </row>
    <row r="17">
      <c r="A17" s="22"/>
      <c r="C17" s="18">
        <f t="shared" si="2"/>
        <v>45727</v>
      </c>
      <c r="D17" s="24">
        <f t="shared" si="1"/>
        <v>45727</v>
      </c>
      <c r="E17" s="25"/>
      <c r="N17" s="40"/>
      <c r="O17" s="41"/>
      <c r="P17" s="41"/>
      <c r="R17" s="41"/>
    </row>
    <row r="18">
      <c r="A18" s="22"/>
      <c r="C18" s="18">
        <f t="shared" si="2"/>
        <v>45728</v>
      </c>
      <c r="D18" s="24">
        <f t="shared" si="1"/>
        <v>45728</v>
      </c>
      <c r="E18" s="25"/>
      <c r="N18" s="40"/>
      <c r="O18" s="41"/>
      <c r="P18" s="41"/>
      <c r="R18" s="41"/>
    </row>
    <row r="19">
      <c r="A19" s="22"/>
      <c r="C19" s="18">
        <f t="shared" si="2"/>
        <v>45729</v>
      </c>
      <c r="D19" s="24">
        <f t="shared" si="1"/>
        <v>45729</v>
      </c>
      <c r="E19" s="25"/>
      <c r="G19" s="21"/>
      <c r="N19" s="40"/>
      <c r="O19" s="41"/>
      <c r="P19" s="41"/>
      <c r="R19" s="41"/>
    </row>
    <row r="20">
      <c r="A20" s="22"/>
      <c r="C20" s="18">
        <f t="shared" si="2"/>
        <v>45730</v>
      </c>
      <c r="D20" s="24">
        <f t="shared" si="1"/>
        <v>45730</v>
      </c>
      <c r="E20" s="25"/>
      <c r="N20" s="40"/>
      <c r="O20" s="41"/>
      <c r="P20" s="41"/>
      <c r="R20" s="41"/>
    </row>
    <row r="21">
      <c r="A21" s="22"/>
      <c r="C21" s="18">
        <f t="shared" si="2"/>
        <v>45731</v>
      </c>
      <c r="D21" s="24">
        <f t="shared" si="1"/>
        <v>45731</v>
      </c>
      <c r="E21" s="21" t="s">
        <v>216</v>
      </c>
      <c r="N21" s="40"/>
      <c r="O21" s="41"/>
      <c r="P21" s="41"/>
      <c r="R21" s="41"/>
    </row>
    <row r="22">
      <c r="A22" s="22"/>
      <c r="B22" s="39"/>
      <c r="C22" s="18">
        <f t="shared" si="2"/>
        <v>45732</v>
      </c>
      <c r="D22" s="24">
        <f t="shared" si="1"/>
        <v>45732</v>
      </c>
      <c r="E22" s="31"/>
      <c r="F22" s="31"/>
      <c r="G22" s="31"/>
      <c r="H22" s="31"/>
      <c r="I22" s="32"/>
      <c r="J22" s="31"/>
      <c r="N22" s="40"/>
      <c r="O22" s="41"/>
      <c r="P22" s="41"/>
      <c r="R22" s="41"/>
    </row>
    <row r="23">
      <c r="A23" s="22"/>
      <c r="B23" s="34">
        <f>B16+1</f>
        <v>12</v>
      </c>
      <c r="C23" s="35">
        <f t="shared" si="2"/>
        <v>45733</v>
      </c>
      <c r="D23" s="36">
        <f t="shared" si="1"/>
        <v>45733</v>
      </c>
      <c r="F23" s="20"/>
      <c r="G23" s="20"/>
      <c r="H23" s="20"/>
      <c r="J23" s="20"/>
      <c r="N23" s="40"/>
      <c r="O23" s="41"/>
      <c r="P23" s="41"/>
      <c r="R23" s="41"/>
    </row>
    <row r="24">
      <c r="A24" s="22"/>
      <c r="C24" s="18">
        <f t="shared" si="2"/>
        <v>45734</v>
      </c>
      <c r="D24" s="24">
        <f t="shared" si="1"/>
        <v>45734</v>
      </c>
      <c r="F24" s="25"/>
      <c r="N24" s="40"/>
      <c r="O24" s="41"/>
      <c r="P24" s="41"/>
      <c r="R24" s="41"/>
    </row>
    <row r="25">
      <c r="A25" s="22"/>
      <c r="C25" s="18">
        <f t="shared" si="2"/>
        <v>45735</v>
      </c>
      <c r="D25" s="24">
        <f t="shared" si="1"/>
        <v>45735</v>
      </c>
      <c r="F25" s="25"/>
      <c r="N25" s="40"/>
      <c r="O25" s="41"/>
      <c r="P25" s="41"/>
      <c r="R25" s="41"/>
    </row>
    <row r="26">
      <c r="A26" s="22"/>
      <c r="C26" s="18">
        <f t="shared" si="2"/>
        <v>45736</v>
      </c>
      <c r="D26" s="24">
        <f t="shared" si="1"/>
        <v>45736</v>
      </c>
      <c r="F26" s="21" t="s">
        <v>26</v>
      </c>
      <c r="N26" s="40"/>
      <c r="O26" s="41"/>
      <c r="P26" s="41"/>
      <c r="R26" s="41"/>
    </row>
    <row r="27">
      <c r="A27" s="22"/>
      <c r="C27" s="18">
        <f t="shared" si="2"/>
        <v>45737</v>
      </c>
      <c r="D27" s="24">
        <f t="shared" si="1"/>
        <v>45737</v>
      </c>
      <c r="F27" s="25"/>
      <c r="N27" s="40"/>
      <c r="O27" s="41"/>
      <c r="P27" s="41"/>
      <c r="R27" s="41"/>
    </row>
    <row r="28">
      <c r="A28" s="22"/>
      <c r="C28" s="18">
        <f t="shared" si="2"/>
        <v>45738</v>
      </c>
      <c r="D28" s="24">
        <f t="shared" si="1"/>
        <v>45738</v>
      </c>
      <c r="F28" s="21" t="s">
        <v>216</v>
      </c>
      <c r="N28" s="40"/>
      <c r="O28" s="41"/>
      <c r="P28" s="41"/>
      <c r="R28" s="41"/>
    </row>
    <row r="29">
      <c r="A29" s="22"/>
      <c r="B29" s="39"/>
      <c r="C29" s="18">
        <f t="shared" si="2"/>
        <v>45739</v>
      </c>
      <c r="D29" s="24">
        <f t="shared" si="1"/>
        <v>45739</v>
      </c>
      <c r="E29" s="31"/>
      <c r="F29" s="31"/>
      <c r="G29" s="31"/>
      <c r="H29" s="31"/>
      <c r="I29" s="32"/>
      <c r="J29" s="31"/>
      <c r="N29" s="40"/>
      <c r="O29" s="41"/>
      <c r="P29" s="41"/>
      <c r="R29" s="41"/>
    </row>
    <row r="30">
      <c r="A30" s="22"/>
      <c r="B30" s="34">
        <f>B23+1</f>
        <v>13</v>
      </c>
      <c r="C30" s="35">
        <f t="shared" si="2"/>
        <v>45740</v>
      </c>
      <c r="D30" s="36">
        <f t="shared" si="1"/>
        <v>45740</v>
      </c>
      <c r="E30" s="21" t="s">
        <v>227</v>
      </c>
      <c r="F30" s="80" t="s">
        <v>26</v>
      </c>
      <c r="G30" s="20"/>
      <c r="J30" s="20"/>
      <c r="N30" s="40"/>
      <c r="O30" s="41"/>
      <c r="P30" s="41"/>
      <c r="R30" s="41"/>
    </row>
    <row r="31">
      <c r="A31" s="22"/>
      <c r="C31" s="18">
        <f t="shared" si="2"/>
        <v>45741</v>
      </c>
      <c r="D31" s="24">
        <f t="shared" si="1"/>
        <v>45741</v>
      </c>
      <c r="E31" s="25"/>
      <c r="N31" s="40"/>
      <c r="O31" s="41"/>
      <c r="P31" s="41"/>
      <c r="R31" s="41"/>
    </row>
    <row r="32">
      <c r="A32" s="22"/>
      <c r="C32" s="18">
        <f t="shared" si="2"/>
        <v>45742</v>
      </c>
      <c r="D32" s="24">
        <f t="shared" si="1"/>
        <v>45742</v>
      </c>
      <c r="E32" s="25"/>
      <c r="N32" s="40"/>
      <c r="O32" s="41"/>
      <c r="P32" s="41"/>
      <c r="R32" s="41"/>
    </row>
    <row r="33">
      <c r="A33" s="22"/>
      <c r="C33" s="18">
        <f t="shared" si="2"/>
        <v>45743</v>
      </c>
      <c r="D33" s="24">
        <f t="shared" si="1"/>
        <v>45743</v>
      </c>
      <c r="E33" s="25"/>
      <c r="N33" s="40"/>
      <c r="O33" s="41"/>
      <c r="P33" s="41"/>
      <c r="R33" s="41"/>
    </row>
    <row r="34">
      <c r="A34" s="22"/>
      <c r="C34" s="18">
        <f t="shared" si="2"/>
        <v>45744</v>
      </c>
      <c r="D34" s="24">
        <f t="shared" si="1"/>
        <v>45744</v>
      </c>
      <c r="E34" s="25"/>
      <c r="N34" s="40"/>
      <c r="O34" s="41"/>
      <c r="P34" s="41"/>
      <c r="R34" s="41"/>
    </row>
    <row r="35">
      <c r="A35" s="22"/>
      <c r="C35" s="18">
        <f t="shared" si="2"/>
        <v>45745</v>
      </c>
      <c r="D35" s="24">
        <f t="shared" si="1"/>
        <v>45745</v>
      </c>
      <c r="E35" s="21" t="s">
        <v>216</v>
      </c>
      <c r="N35" s="40"/>
      <c r="O35" s="41"/>
      <c r="P35" s="41"/>
      <c r="R35" s="41"/>
    </row>
    <row r="36">
      <c r="A36" s="22"/>
      <c r="B36" s="39"/>
      <c r="C36" s="18">
        <f t="shared" si="2"/>
        <v>45746</v>
      </c>
      <c r="D36" s="24">
        <f t="shared" si="1"/>
        <v>45746</v>
      </c>
      <c r="E36" s="31"/>
      <c r="F36" s="31"/>
      <c r="N36" s="40"/>
      <c r="O36" s="41"/>
      <c r="P36" s="41"/>
      <c r="R36" s="41"/>
    </row>
    <row r="37">
      <c r="A37" s="22"/>
      <c r="B37" s="34">
        <f>B30+1</f>
        <v>14</v>
      </c>
      <c r="C37" s="35">
        <f t="shared" si="2"/>
        <v>45747</v>
      </c>
      <c r="D37" s="36">
        <f t="shared" si="1"/>
        <v>45747</v>
      </c>
      <c r="F37" s="20"/>
      <c r="G37" s="20"/>
      <c r="H37" s="20"/>
      <c r="I37" s="20"/>
      <c r="J37" s="20"/>
    </row>
    <row r="38">
      <c r="A38" s="22"/>
      <c r="C38" s="18">
        <f t="shared" si="2"/>
        <v>45748</v>
      </c>
      <c r="D38" s="24">
        <f t="shared" si="1"/>
        <v>45748</v>
      </c>
    </row>
    <row r="39">
      <c r="A39" s="22"/>
      <c r="C39" s="18">
        <f t="shared" si="2"/>
        <v>45749</v>
      </c>
      <c r="D39" s="24">
        <f t="shared" si="1"/>
        <v>45749</v>
      </c>
    </row>
    <row r="40">
      <c r="A40" s="22"/>
      <c r="C40" s="18">
        <f t="shared" si="2"/>
        <v>45750</v>
      </c>
      <c r="D40" s="24">
        <f t="shared" si="1"/>
        <v>45750</v>
      </c>
    </row>
    <row r="41">
      <c r="A41" s="22"/>
      <c r="C41" s="18">
        <f t="shared" si="2"/>
        <v>45751</v>
      </c>
      <c r="D41" s="24">
        <f t="shared" si="1"/>
        <v>45751</v>
      </c>
    </row>
    <row r="42">
      <c r="A42" s="22"/>
      <c r="C42" s="18">
        <f t="shared" si="2"/>
        <v>45752</v>
      </c>
      <c r="D42" s="24">
        <f t="shared" si="1"/>
        <v>45752</v>
      </c>
    </row>
    <row r="43">
      <c r="A43" s="22"/>
      <c r="B43" s="39"/>
      <c r="C43" s="42">
        <f t="shared" si="2"/>
        <v>45753</v>
      </c>
      <c r="D43" s="43">
        <f t="shared" si="1"/>
        <v>45753</v>
      </c>
      <c r="E43" s="31"/>
      <c r="F43" s="31"/>
      <c r="G43" s="31"/>
      <c r="H43" s="31"/>
      <c r="I43" s="31"/>
      <c r="J43" s="31"/>
    </row>
  </sheetData>
  <autoFilter ref="$C$1:$C$1003">
    <sortState ref="C1:C1003">
      <sortCondition descending="1" sortBy="cellColor" ref="C1:C1003" dxfId="1"/>
    </sortState>
  </autoFilter>
  <mergeCells count="7">
    <mergeCell ref="A2:A43"/>
    <mergeCell ref="B2:B8"/>
    <mergeCell ref="B9:B15"/>
    <mergeCell ref="B16:B22"/>
    <mergeCell ref="B23:B29"/>
    <mergeCell ref="B30:B36"/>
    <mergeCell ref="B37:B43"/>
  </mergeCells>
  <conditionalFormatting sqref="C2:C43">
    <cfRule type="timePeriod" dxfId="2" priority="3" timePeriod="today"/>
  </conditionalFormatting>
  <conditionalFormatting sqref="E2:E7 E9:E43 F14 F28">
    <cfRule type="expression" dxfId="3" priority="4">
      <formula>AND(MONTH($A$1)=MONTH(C2),OR(AND(MOD(WEEKNUM(C2,2),2),ISERROR(MATCH(WEEKDAY(C2,2),$Q$5:$Q$11,0))),AND(MOD(WEEKNUM(C2,2),2)=0,ISERROR(MATCH(WEEKDAY(C2,2),$R$5:$R$11,0)))))</formula>
    </cfRule>
  </conditionalFormatting>
  <conditionalFormatting sqref="F2:F7 F9:F43 E21 E35">
    <cfRule type="expression" dxfId="3" priority="5">
      <formula>AND(MONTH($A$1)=MONTH(C2),OR(AND(MOD(WEEKNUM(C2,2),2),NOT(ISERROR(MATCH(WEEKDAY(C2,2),$Q$5:$Q$11,0)))),AND(MOD(WEEKNUM(C2,2),2)=0,NOT(ISERROR(MATCH(WEEKDAY(C2,2),$R$5:$R$11,0))))))</formula>
    </cfRule>
  </conditionalFormatting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5"/>
    <col customWidth="1" min="3" max="3" width="2.88"/>
    <col customWidth="1" min="4" max="4" width="7.5"/>
    <col customWidth="1" min="5" max="6" width="27.75"/>
    <col customWidth="1" min="7" max="8" width="13.38"/>
    <col customWidth="1" min="9" max="9" width="22.63"/>
    <col customWidth="1" min="10" max="10" width="25.38"/>
    <col customWidth="1" min="14" max="14" width="23.63"/>
    <col customWidth="1" min="16" max="16" width="14.25"/>
  </cols>
  <sheetData>
    <row r="1">
      <c r="A1" s="11">
        <v>45748.0</v>
      </c>
      <c r="B1" s="12" t="s">
        <v>13</v>
      </c>
      <c r="C1" s="13"/>
      <c r="D1" s="14"/>
      <c r="E1" s="15" t="s">
        <v>5</v>
      </c>
      <c r="F1" s="15" t="s">
        <v>14</v>
      </c>
      <c r="G1" s="12"/>
      <c r="H1" s="12"/>
      <c r="I1" s="12" t="s">
        <v>15</v>
      </c>
      <c r="J1" s="12" t="s">
        <v>16</v>
      </c>
    </row>
    <row r="2">
      <c r="A2" s="16">
        <f>A1</f>
        <v>45748</v>
      </c>
      <c r="B2" s="17">
        <f>WEEKNUM(A1)</f>
        <v>14</v>
      </c>
      <c r="C2" s="18">
        <f>A1-WEEKDAY(A1,2)+1</f>
        <v>45747</v>
      </c>
      <c r="D2" s="19">
        <f t="shared" ref="D2:D43" si="1">C2</f>
        <v>45747</v>
      </c>
      <c r="F2" s="20"/>
      <c r="N2" s="21"/>
    </row>
    <row r="3">
      <c r="A3" s="22"/>
      <c r="B3" s="23"/>
      <c r="C3" s="18">
        <f t="shared" ref="C3:C43" si="2">C2+1</f>
        <v>45748</v>
      </c>
      <c r="D3" s="24">
        <f t="shared" si="1"/>
        <v>45748</v>
      </c>
      <c r="F3" s="25"/>
      <c r="N3" s="21"/>
    </row>
    <row r="4">
      <c r="A4" s="22"/>
      <c r="B4" s="23"/>
      <c r="C4" s="18">
        <f t="shared" si="2"/>
        <v>45749</v>
      </c>
      <c r="D4" s="24">
        <f t="shared" si="1"/>
        <v>45749</v>
      </c>
      <c r="F4" s="25"/>
      <c r="N4" s="21"/>
    </row>
    <row r="5">
      <c r="A5" s="22"/>
      <c r="B5" s="23"/>
      <c r="C5" s="18">
        <f t="shared" si="2"/>
        <v>45750</v>
      </c>
      <c r="D5" s="24">
        <f t="shared" si="1"/>
        <v>45750</v>
      </c>
      <c r="F5" s="25"/>
      <c r="M5" s="26"/>
      <c r="N5" s="21" t="s">
        <v>17</v>
      </c>
      <c r="Q5" s="27"/>
      <c r="R5" s="27">
        <v>1.0</v>
      </c>
    </row>
    <row r="6">
      <c r="A6" s="22"/>
      <c r="B6" s="23"/>
      <c r="C6" s="18">
        <f t="shared" si="2"/>
        <v>45751</v>
      </c>
      <c r="D6" s="24">
        <f t="shared" si="1"/>
        <v>45751</v>
      </c>
      <c r="F6" s="25"/>
      <c r="M6" s="28"/>
      <c r="N6" s="21" t="s">
        <v>18</v>
      </c>
      <c r="Q6" s="27"/>
      <c r="R6" s="27">
        <v>2.0</v>
      </c>
    </row>
    <row r="7">
      <c r="A7" s="22"/>
      <c r="B7" s="23"/>
      <c r="C7" s="18">
        <f t="shared" si="2"/>
        <v>45752</v>
      </c>
      <c r="D7" s="24">
        <f t="shared" si="1"/>
        <v>45752</v>
      </c>
      <c r="F7" s="21" t="s">
        <v>228</v>
      </c>
      <c r="Q7" s="29"/>
      <c r="R7" s="27">
        <v>3.0</v>
      </c>
    </row>
    <row r="8">
      <c r="A8" s="22"/>
      <c r="B8" s="30"/>
      <c r="C8" s="18">
        <f t="shared" si="2"/>
        <v>45753</v>
      </c>
      <c r="D8" s="24">
        <f t="shared" si="1"/>
        <v>45753</v>
      </c>
      <c r="E8" s="31"/>
      <c r="F8" s="31"/>
      <c r="G8" s="32"/>
      <c r="H8" s="32"/>
      <c r="I8" s="32"/>
      <c r="J8" s="31"/>
      <c r="M8" s="33"/>
      <c r="N8" s="21" t="s">
        <v>19</v>
      </c>
      <c r="Q8" s="29"/>
      <c r="R8" s="27">
        <v>4.0</v>
      </c>
    </row>
    <row r="9">
      <c r="A9" s="22"/>
      <c r="B9" s="34">
        <f>B2+1</f>
        <v>15</v>
      </c>
      <c r="C9" s="35">
        <f t="shared" si="2"/>
        <v>45754</v>
      </c>
      <c r="D9" s="36">
        <f t="shared" si="1"/>
        <v>45754</v>
      </c>
      <c r="E9" s="25"/>
      <c r="F9" s="20"/>
      <c r="G9" s="20"/>
      <c r="H9" s="20"/>
      <c r="I9" s="20"/>
      <c r="J9" s="20"/>
      <c r="M9" s="37"/>
      <c r="N9" s="21" t="s">
        <v>20</v>
      </c>
      <c r="Q9" s="29"/>
      <c r="R9" s="27">
        <v>5.0</v>
      </c>
    </row>
    <row r="10">
      <c r="A10" s="22"/>
      <c r="C10" s="18">
        <f t="shared" si="2"/>
        <v>45755</v>
      </c>
      <c r="D10" s="24">
        <f t="shared" si="1"/>
        <v>45755</v>
      </c>
      <c r="E10" s="25"/>
      <c r="Q10" s="29"/>
      <c r="R10" s="27">
        <v>6.0</v>
      </c>
    </row>
    <row r="11">
      <c r="A11" s="22"/>
      <c r="C11" s="18">
        <f t="shared" si="2"/>
        <v>45756</v>
      </c>
      <c r="D11" s="24">
        <f t="shared" si="1"/>
        <v>45756</v>
      </c>
      <c r="E11" s="25"/>
      <c r="Q11" s="29"/>
      <c r="R11" s="27">
        <v>7.0</v>
      </c>
    </row>
    <row r="12">
      <c r="A12" s="22"/>
      <c r="C12" s="18">
        <f t="shared" si="2"/>
        <v>45757</v>
      </c>
      <c r="D12" s="24">
        <f t="shared" si="1"/>
        <v>45757</v>
      </c>
      <c r="E12" s="25"/>
      <c r="K12" s="38"/>
    </row>
    <row r="13">
      <c r="A13" s="22"/>
      <c r="C13" s="18">
        <f t="shared" si="2"/>
        <v>45758</v>
      </c>
      <c r="D13" s="24">
        <f t="shared" si="1"/>
        <v>45758</v>
      </c>
      <c r="E13" s="25"/>
    </row>
    <row r="14">
      <c r="A14" s="22"/>
      <c r="C14" s="18">
        <f t="shared" si="2"/>
        <v>45759</v>
      </c>
      <c r="D14" s="24">
        <f t="shared" si="1"/>
        <v>45759</v>
      </c>
      <c r="E14" s="21" t="s">
        <v>229</v>
      </c>
    </row>
    <row r="15">
      <c r="A15" s="22"/>
      <c r="B15" s="39"/>
      <c r="C15" s="18">
        <f t="shared" si="2"/>
        <v>45760</v>
      </c>
      <c r="D15" s="24">
        <f t="shared" si="1"/>
        <v>45760</v>
      </c>
      <c r="E15" s="31"/>
      <c r="F15" s="31"/>
      <c r="G15" s="31"/>
      <c r="H15" s="31"/>
      <c r="I15" s="31"/>
      <c r="J15" s="31"/>
    </row>
    <row r="16">
      <c r="A16" s="22"/>
      <c r="B16" s="34">
        <f>B9+1</f>
        <v>16</v>
      </c>
      <c r="C16" s="35">
        <f t="shared" si="2"/>
        <v>45761</v>
      </c>
      <c r="D16" s="36">
        <f t="shared" si="1"/>
        <v>45761</v>
      </c>
      <c r="F16" s="20"/>
      <c r="I16" s="20"/>
      <c r="J16" s="20"/>
      <c r="N16" s="40"/>
      <c r="O16" s="41"/>
      <c r="P16" s="41"/>
      <c r="R16" s="41"/>
    </row>
    <row r="17">
      <c r="A17" s="22"/>
      <c r="C17" s="18">
        <f t="shared" si="2"/>
        <v>45762</v>
      </c>
      <c r="D17" s="24">
        <f t="shared" si="1"/>
        <v>45762</v>
      </c>
      <c r="F17" s="25"/>
      <c r="N17" s="40"/>
      <c r="O17" s="41"/>
      <c r="P17" s="41"/>
      <c r="R17" s="41"/>
    </row>
    <row r="18">
      <c r="A18" s="22"/>
      <c r="C18" s="18">
        <f t="shared" si="2"/>
        <v>45763</v>
      </c>
      <c r="D18" s="24">
        <f t="shared" si="1"/>
        <v>45763</v>
      </c>
      <c r="F18" s="25"/>
      <c r="N18" s="40"/>
      <c r="O18" s="41"/>
      <c r="P18" s="41"/>
      <c r="R18" s="41"/>
    </row>
    <row r="19">
      <c r="A19" s="22"/>
      <c r="C19" s="18">
        <f t="shared" si="2"/>
        <v>45764</v>
      </c>
      <c r="D19" s="24">
        <f t="shared" si="1"/>
        <v>45764</v>
      </c>
      <c r="F19" s="46" t="s">
        <v>230</v>
      </c>
      <c r="G19" s="21"/>
      <c r="N19" s="40"/>
      <c r="O19" s="41"/>
      <c r="P19" s="41"/>
      <c r="R19" s="41"/>
    </row>
    <row r="20">
      <c r="A20" s="22"/>
      <c r="C20" s="18">
        <f t="shared" si="2"/>
        <v>45765</v>
      </c>
      <c r="D20" s="97">
        <f t="shared" si="1"/>
        <v>45765</v>
      </c>
      <c r="F20" s="25"/>
      <c r="G20" s="60" t="s">
        <v>98</v>
      </c>
      <c r="N20" s="40"/>
      <c r="O20" s="41"/>
      <c r="P20" s="41"/>
      <c r="R20" s="41"/>
    </row>
    <row r="21">
      <c r="A21" s="22"/>
      <c r="C21" s="18">
        <f t="shared" si="2"/>
        <v>45766</v>
      </c>
      <c r="D21" s="24">
        <f t="shared" si="1"/>
        <v>45766</v>
      </c>
      <c r="F21" s="25"/>
      <c r="G21" s="21" t="s">
        <v>99</v>
      </c>
      <c r="N21" s="40"/>
      <c r="O21" s="41"/>
      <c r="P21" s="41"/>
      <c r="R21" s="41"/>
    </row>
    <row r="22">
      <c r="A22" s="22"/>
      <c r="B22" s="39"/>
      <c r="C22" s="44">
        <f t="shared" si="2"/>
        <v>45767</v>
      </c>
      <c r="D22" s="97">
        <f t="shared" si="1"/>
        <v>45767</v>
      </c>
      <c r="E22" s="31"/>
      <c r="F22" s="31"/>
      <c r="G22" s="62" t="s">
        <v>100</v>
      </c>
      <c r="H22" s="31"/>
      <c r="I22" s="32"/>
      <c r="J22" s="31"/>
      <c r="N22" s="40"/>
      <c r="O22" s="41"/>
      <c r="P22" s="41"/>
      <c r="R22" s="41"/>
    </row>
    <row r="23">
      <c r="A23" s="22"/>
      <c r="B23" s="34">
        <f>B16+1</f>
        <v>17</v>
      </c>
      <c r="C23" s="105">
        <f t="shared" si="2"/>
        <v>45768</v>
      </c>
      <c r="D23" s="106">
        <f t="shared" si="1"/>
        <v>45768</v>
      </c>
      <c r="E23" s="25"/>
      <c r="F23" s="20"/>
      <c r="G23" s="104" t="s">
        <v>21</v>
      </c>
      <c r="H23" s="20"/>
      <c r="J23" s="20"/>
      <c r="N23" s="40"/>
      <c r="O23" s="41"/>
      <c r="P23" s="41"/>
      <c r="R23" s="41"/>
    </row>
    <row r="24">
      <c r="A24" s="22"/>
      <c r="C24" s="18">
        <f t="shared" si="2"/>
        <v>45769</v>
      </c>
      <c r="D24" s="24">
        <f t="shared" si="1"/>
        <v>45769</v>
      </c>
      <c r="E24" s="25"/>
      <c r="N24" s="40"/>
      <c r="O24" s="41"/>
      <c r="P24" s="41"/>
      <c r="R24" s="41"/>
    </row>
    <row r="25">
      <c r="A25" s="22"/>
      <c r="C25" s="18">
        <f t="shared" si="2"/>
        <v>45770</v>
      </c>
      <c r="D25" s="24">
        <f t="shared" si="1"/>
        <v>45770</v>
      </c>
      <c r="E25" s="25"/>
      <c r="N25" s="40"/>
      <c r="O25" s="41"/>
      <c r="P25" s="41"/>
      <c r="R25" s="41"/>
    </row>
    <row r="26">
      <c r="A26" s="22"/>
      <c r="C26" s="18">
        <f t="shared" si="2"/>
        <v>45771</v>
      </c>
      <c r="D26" s="24">
        <f t="shared" si="1"/>
        <v>45771</v>
      </c>
      <c r="E26" s="21" t="s">
        <v>227</v>
      </c>
      <c r="N26" s="40"/>
      <c r="O26" s="41"/>
      <c r="P26" s="41"/>
      <c r="R26" s="41"/>
    </row>
    <row r="27">
      <c r="A27" s="22"/>
      <c r="C27" s="18">
        <f t="shared" si="2"/>
        <v>45772</v>
      </c>
      <c r="D27" s="24">
        <f t="shared" si="1"/>
        <v>45772</v>
      </c>
      <c r="E27" s="25"/>
      <c r="N27" s="40"/>
      <c r="O27" s="41"/>
      <c r="P27" s="41"/>
      <c r="R27" s="41"/>
    </row>
    <row r="28">
      <c r="A28" s="22"/>
      <c r="C28" s="18">
        <f t="shared" si="2"/>
        <v>45773</v>
      </c>
      <c r="D28" s="24">
        <f t="shared" si="1"/>
        <v>45773</v>
      </c>
      <c r="E28" s="25"/>
      <c r="N28" s="40"/>
      <c r="O28" s="41"/>
      <c r="P28" s="41"/>
      <c r="R28" s="41"/>
    </row>
    <row r="29">
      <c r="A29" s="22"/>
      <c r="B29" s="39"/>
      <c r="C29" s="18">
        <f t="shared" si="2"/>
        <v>45774</v>
      </c>
      <c r="D29" s="24">
        <f t="shared" si="1"/>
        <v>45774</v>
      </c>
      <c r="E29" s="31"/>
      <c r="F29" s="31"/>
      <c r="G29" s="31"/>
      <c r="H29" s="31"/>
      <c r="I29" s="32"/>
      <c r="J29" s="31"/>
      <c r="N29" s="40"/>
      <c r="O29" s="41"/>
      <c r="P29" s="41"/>
      <c r="R29" s="41"/>
    </row>
    <row r="30">
      <c r="A30" s="22"/>
      <c r="B30" s="34">
        <f>B23+1</f>
        <v>18</v>
      </c>
      <c r="C30" s="35">
        <f t="shared" si="2"/>
        <v>45775</v>
      </c>
      <c r="D30" s="36">
        <f t="shared" si="1"/>
        <v>45775</v>
      </c>
      <c r="F30" s="20"/>
      <c r="G30" s="20"/>
      <c r="J30" s="20"/>
      <c r="N30" s="40"/>
      <c r="O30" s="41"/>
      <c r="P30" s="41"/>
      <c r="R30" s="41"/>
    </row>
    <row r="31">
      <c r="A31" s="22"/>
      <c r="C31" s="18">
        <f t="shared" si="2"/>
        <v>45776</v>
      </c>
      <c r="D31" s="24">
        <f t="shared" si="1"/>
        <v>45776</v>
      </c>
      <c r="F31" s="25"/>
      <c r="N31" s="40"/>
      <c r="O31" s="41"/>
      <c r="P31" s="41"/>
      <c r="R31" s="41"/>
    </row>
    <row r="32">
      <c r="A32" s="22"/>
      <c r="C32" s="18">
        <f t="shared" si="2"/>
        <v>45777</v>
      </c>
      <c r="D32" s="24">
        <f t="shared" si="1"/>
        <v>45777</v>
      </c>
      <c r="F32" s="46" t="s">
        <v>230</v>
      </c>
      <c r="N32" s="40"/>
      <c r="O32" s="41"/>
      <c r="P32" s="41"/>
      <c r="R32" s="41"/>
    </row>
    <row r="33">
      <c r="A33" s="22"/>
      <c r="C33" s="18">
        <f t="shared" si="2"/>
        <v>45778</v>
      </c>
      <c r="D33" s="24">
        <f t="shared" si="1"/>
        <v>45778</v>
      </c>
      <c r="N33" s="40"/>
      <c r="O33" s="41"/>
      <c r="P33" s="41"/>
      <c r="R33" s="41"/>
    </row>
    <row r="34">
      <c r="A34" s="22"/>
      <c r="C34" s="18">
        <f t="shared" si="2"/>
        <v>45779</v>
      </c>
      <c r="D34" s="24">
        <f t="shared" si="1"/>
        <v>45779</v>
      </c>
      <c r="N34" s="40"/>
      <c r="O34" s="41"/>
      <c r="P34" s="41"/>
      <c r="R34" s="41"/>
    </row>
    <row r="35">
      <c r="A35" s="22"/>
      <c r="C35" s="18">
        <f t="shared" si="2"/>
        <v>45780</v>
      </c>
      <c r="D35" s="24">
        <f t="shared" si="1"/>
        <v>45780</v>
      </c>
      <c r="N35" s="40"/>
      <c r="O35" s="41"/>
      <c r="P35" s="41"/>
      <c r="R35" s="41"/>
    </row>
    <row r="36">
      <c r="A36" s="22"/>
      <c r="B36" s="39"/>
      <c r="C36" s="18">
        <f t="shared" si="2"/>
        <v>45781</v>
      </c>
      <c r="D36" s="24">
        <f t="shared" si="1"/>
        <v>45781</v>
      </c>
      <c r="E36" s="31"/>
      <c r="F36" s="31"/>
      <c r="N36" s="40"/>
      <c r="O36" s="41"/>
      <c r="P36" s="41"/>
      <c r="R36" s="41"/>
    </row>
    <row r="37">
      <c r="A37" s="22"/>
      <c r="B37" s="34">
        <f>B30+1</f>
        <v>19</v>
      </c>
      <c r="C37" s="35">
        <f t="shared" si="2"/>
        <v>45782</v>
      </c>
      <c r="D37" s="36">
        <f t="shared" si="1"/>
        <v>45782</v>
      </c>
      <c r="F37" s="20"/>
      <c r="G37" s="20"/>
      <c r="H37" s="20"/>
      <c r="I37" s="20"/>
      <c r="J37" s="20"/>
    </row>
    <row r="38">
      <c r="A38" s="22"/>
      <c r="C38" s="18">
        <f t="shared" si="2"/>
        <v>45783</v>
      </c>
      <c r="D38" s="24">
        <f t="shared" si="1"/>
        <v>45783</v>
      </c>
    </row>
    <row r="39">
      <c r="A39" s="22"/>
      <c r="C39" s="18">
        <f t="shared" si="2"/>
        <v>45784</v>
      </c>
      <c r="D39" s="24">
        <f t="shared" si="1"/>
        <v>45784</v>
      </c>
    </row>
    <row r="40">
      <c r="A40" s="22"/>
      <c r="C40" s="18">
        <f t="shared" si="2"/>
        <v>45785</v>
      </c>
      <c r="D40" s="24">
        <f t="shared" si="1"/>
        <v>45785</v>
      </c>
    </row>
    <row r="41">
      <c r="A41" s="22"/>
      <c r="C41" s="18">
        <f t="shared" si="2"/>
        <v>45786</v>
      </c>
      <c r="D41" s="24">
        <f t="shared" si="1"/>
        <v>45786</v>
      </c>
    </row>
    <row r="42">
      <c r="A42" s="22"/>
      <c r="C42" s="18">
        <f t="shared" si="2"/>
        <v>45787</v>
      </c>
      <c r="D42" s="24">
        <f t="shared" si="1"/>
        <v>45787</v>
      </c>
    </row>
    <row r="43">
      <c r="A43" s="22"/>
      <c r="B43" s="39"/>
      <c r="C43" s="42">
        <f t="shared" si="2"/>
        <v>45788</v>
      </c>
      <c r="D43" s="43">
        <f t="shared" si="1"/>
        <v>45788</v>
      </c>
      <c r="E43" s="31"/>
      <c r="F43" s="31"/>
      <c r="G43" s="31"/>
      <c r="H43" s="31"/>
      <c r="I43" s="31"/>
      <c r="J43" s="31"/>
    </row>
  </sheetData>
  <autoFilter ref="$C$1:$C$1003">
    <sortState ref="C1:C1003">
      <sortCondition descending="1" sortBy="cellColor" ref="C1:C1003" dxfId="1"/>
    </sortState>
  </autoFilter>
  <mergeCells count="7">
    <mergeCell ref="A2:A43"/>
    <mergeCell ref="B2:B8"/>
    <mergeCell ref="B9:B15"/>
    <mergeCell ref="B16:B22"/>
    <mergeCell ref="B23:B29"/>
    <mergeCell ref="B30:B36"/>
    <mergeCell ref="B37:B43"/>
  </mergeCells>
  <conditionalFormatting sqref="C2:C43">
    <cfRule type="timePeriod" dxfId="2" priority="3" timePeriod="today"/>
  </conditionalFormatting>
  <conditionalFormatting sqref="E2:E43">
    <cfRule type="expression" dxfId="3" priority="4">
      <formula>AND(MONTH($A$1)=MONTH(C2),OR(AND(MOD(WEEKNUM(C2,2),2),ISERROR(MATCH(WEEKDAY(C2,2),$Q$5:$Q$11,0))),AND(MOD(WEEKNUM(C2,2),2)=0,ISERROR(MATCH(WEEKDAY(C2,2),$R$5:$R$11,0)))))</formula>
    </cfRule>
  </conditionalFormatting>
  <conditionalFormatting sqref="F2:F43">
    <cfRule type="expression" dxfId="3" priority="5">
      <formula>AND(MONTH($A$1)=MONTH(C2),OR(AND(MOD(WEEKNUM(C2,2),2),NOT(ISERROR(MATCH(WEEKDAY(C2,2),$Q$5:$Q$11,0)))),AND(MOD(WEEKNUM(C2,2),2)=0,NOT(ISERROR(MATCH(WEEKDAY(C2,2),$R$5:$R$11,0))))))</formula>
    </cfRule>
  </conditionalFormatting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5"/>
    <col customWidth="1" min="3" max="3" width="2.88"/>
    <col customWidth="1" min="4" max="4" width="7.5"/>
    <col customWidth="1" min="5" max="5" width="21.75"/>
    <col customWidth="1" min="6" max="6" width="20.13"/>
    <col customWidth="1" min="7" max="7" width="15.0"/>
    <col customWidth="1" min="8" max="8" width="13.38"/>
    <col customWidth="1" min="9" max="9" width="22.63"/>
    <col customWidth="1" min="10" max="10" width="28.75"/>
    <col customWidth="1" min="14" max="14" width="23.63"/>
    <col customWidth="1" min="16" max="16" width="14.25"/>
  </cols>
  <sheetData>
    <row r="1">
      <c r="A1" s="11">
        <v>45778.0</v>
      </c>
      <c r="B1" s="12" t="s">
        <v>13</v>
      </c>
      <c r="C1" s="13"/>
      <c r="D1" s="14"/>
      <c r="E1" s="15" t="s">
        <v>5</v>
      </c>
      <c r="F1" s="15" t="s">
        <v>14</v>
      </c>
      <c r="G1" s="12"/>
      <c r="H1" s="12"/>
      <c r="I1" s="12" t="s">
        <v>15</v>
      </c>
      <c r="J1" s="12" t="s">
        <v>16</v>
      </c>
    </row>
    <row r="2">
      <c r="A2" s="16">
        <f>A1</f>
        <v>45778</v>
      </c>
      <c r="B2" s="17">
        <f>WEEKNUM(A1)</f>
        <v>18</v>
      </c>
      <c r="C2" s="18">
        <f>A1-WEEKDAY(A1,2)+1</f>
        <v>45775</v>
      </c>
      <c r="D2" s="19">
        <f t="shared" ref="D2:D43" si="1">C2</f>
        <v>45775</v>
      </c>
      <c r="F2" s="20"/>
      <c r="N2" s="21"/>
    </row>
    <row r="3">
      <c r="A3" s="22"/>
      <c r="B3" s="23"/>
      <c r="C3" s="18">
        <f t="shared" ref="C3:C43" si="2">C2+1</f>
        <v>45776</v>
      </c>
      <c r="D3" s="24">
        <f t="shared" si="1"/>
        <v>45776</v>
      </c>
      <c r="N3" s="21"/>
    </row>
    <row r="4">
      <c r="A4" s="22"/>
      <c r="B4" s="23"/>
      <c r="C4" s="18">
        <f t="shared" si="2"/>
        <v>45777</v>
      </c>
      <c r="D4" s="24">
        <f t="shared" si="1"/>
        <v>45777</v>
      </c>
      <c r="N4" s="21"/>
    </row>
    <row r="5">
      <c r="A5" s="22"/>
      <c r="B5" s="23"/>
      <c r="C5" s="44">
        <f t="shared" si="2"/>
        <v>45778</v>
      </c>
      <c r="D5" s="97">
        <f t="shared" si="1"/>
        <v>45778</v>
      </c>
      <c r="F5" s="25"/>
      <c r="M5" s="26"/>
      <c r="N5" s="21" t="s">
        <v>17</v>
      </c>
      <c r="Q5" s="27"/>
      <c r="R5" s="27">
        <v>1.0</v>
      </c>
    </row>
    <row r="6">
      <c r="A6" s="22"/>
      <c r="B6" s="23"/>
      <c r="C6" s="18">
        <f t="shared" si="2"/>
        <v>45779</v>
      </c>
      <c r="D6" s="24">
        <f t="shared" si="1"/>
        <v>45779</v>
      </c>
      <c r="F6" s="46" t="s">
        <v>54</v>
      </c>
      <c r="G6" s="21" t="s">
        <v>231</v>
      </c>
      <c r="M6" s="28"/>
      <c r="N6" s="21" t="s">
        <v>18</v>
      </c>
      <c r="Q6" s="27"/>
      <c r="R6" s="27">
        <v>2.0</v>
      </c>
    </row>
    <row r="7">
      <c r="A7" s="22"/>
      <c r="B7" s="23"/>
      <c r="C7" s="18">
        <f t="shared" si="2"/>
        <v>45780</v>
      </c>
      <c r="D7" s="24">
        <f t="shared" si="1"/>
        <v>45780</v>
      </c>
      <c r="F7" s="25"/>
      <c r="Q7" s="29"/>
      <c r="R7" s="27">
        <v>3.0</v>
      </c>
    </row>
    <row r="8">
      <c r="A8" s="22"/>
      <c r="B8" s="30"/>
      <c r="C8" s="18">
        <f t="shared" si="2"/>
        <v>45781</v>
      </c>
      <c r="D8" s="24">
        <f t="shared" si="1"/>
        <v>45781</v>
      </c>
      <c r="E8" s="31"/>
      <c r="F8" s="31"/>
      <c r="G8" s="32"/>
      <c r="H8" s="32"/>
      <c r="I8" s="32"/>
      <c r="J8" s="31"/>
      <c r="M8" s="33"/>
      <c r="N8" s="21" t="s">
        <v>19</v>
      </c>
      <c r="Q8" s="29"/>
      <c r="R8" s="27">
        <v>4.0</v>
      </c>
    </row>
    <row r="9">
      <c r="A9" s="22"/>
      <c r="B9" s="34">
        <f>B2+1</f>
        <v>19</v>
      </c>
      <c r="C9" s="35">
        <f t="shared" si="2"/>
        <v>45782</v>
      </c>
      <c r="D9" s="36">
        <f t="shared" si="1"/>
        <v>45782</v>
      </c>
      <c r="E9" s="25"/>
      <c r="F9" s="20"/>
      <c r="G9" s="20"/>
      <c r="H9" s="20"/>
      <c r="I9" s="20"/>
      <c r="J9" s="20"/>
      <c r="M9" s="37"/>
      <c r="N9" s="21" t="s">
        <v>20</v>
      </c>
      <c r="Q9" s="29"/>
      <c r="R9" s="27">
        <v>5.0</v>
      </c>
    </row>
    <row r="10">
      <c r="A10" s="22"/>
      <c r="C10" s="18">
        <f t="shared" si="2"/>
        <v>45783</v>
      </c>
      <c r="D10" s="24">
        <f t="shared" si="1"/>
        <v>45783</v>
      </c>
      <c r="E10" s="25"/>
      <c r="Q10" s="29"/>
      <c r="R10" s="27">
        <v>6.0</v>
      </c>
    </row>
    <row r="11">
      <c r="A11" s="22"/>
      <c r="C11" s="18">
        <f t="shared" si="2"/>
        <v>45784</v>
      </c>
      <c r="D11" s="24">
        <f t="shared" si="1"/>
        <v>45784</v>
      </c>
      <c r="E11" s="25"/>
      <c r="Q11" s="29"/>
      <c r="R11" s="27">
        <v>7.0</v>
      </c>
    </row>
    <row r="12">
      <c r="A12" s="22"/>
      <c r="C12" s="18">
        <f t="shared" si="2"/>
        <v>45785</v>
      </c>
      <c r="D12" s="24">
        <f t="shared" si="1"/>
        <v>45785</v>
      </c>
      <c r="E12" s="25"/>
      <c r="K12" s="38"/>
    </row>
    <row r="13">
      <c r="A13" s="22"/>
      <c r="C13" s="18">
        <f t="shared" si="2"/>
        <v>45786</v>
      </c>
      <c r="D13" s="24">
        <f t="shared" si="1"/>
        <v>45786</v>
      </c>
      <c r="E13" s="25"/>
    </row>
    <row r="14">
      <c r="A14" s="22"/>
      <c r="C14" s="18">
        <f t="shared" si="2"/>
        <v>45787</v>
      </c>
      <c r="D14" s="24">
        <f t="shared" si="1"/>
        <v>45787</v>
      </c>
      <c r="E14" s="25"/>
    </row>
    <row r="15">
      <c r="A15" s="22"/>
      <c r="B15" s="39"/>
      <c r="C15" s="18">
        <f t="shared" si="2"/>
        <v>45788</v>
      </c>
      <c r="D15" s="24">
        <f t="shared" si="1"/>
        <v>45788</v>
      </c>
      <c r="E15" s="31"/>
      <c r="F15" s="31"/>
      <c r="G15" s="31"/>
      <c r="H15" s="31"/>
      <c r="I15" s="31"/>
      <c r="J15" s="31"/>
    </row>
    <row r="16">
      <c r="A16" s="22"/>
      <c r="B16" s="34">
        <f>B9+1</f>
        <v>20</v>
      </c>
      <c r="C16" s="35">
        <f t="shared" si="2"/>
        <v>45789</v>
      </c>
      <c r="D16" s="36">
        <f t="shared" si="1"/>
        <v>45789</v>
      </c>
      <c r="F16" s="20"/>
      <c r="I16" s="20"/>
      <c r="J16" s="20"/>
      <c r="N16" s="40"/>
      <c r="O16" s="41"/>
      <c r="P16" s="41"/>
      <c r="R16" s="41"/>
    </row>
    <row r="17">
      <c r="A17" s="22"/>
      <c r="C17" s="18">
        <f t="shared" si="2"/>
        <v>45790</v>
      </c>
      <c r="D17" s="24">
        <f t="shared" si="1"/>
        <v>45790</v>
      </c>
      <c r="F17" s="25"/>
      <c r="N17" s="40"/>
      <c r="O17" s="41"/>
      <c r="P17" s="41"/>
      <c r="R17" s="41"/>
    </row>
    <row r="18">
      <c r="A18" s="22"/>
      <c r="C18" s="18">
        <f t="shared" si="2"/>
        <v>45791</v>
      </c>
      <c r="D18" s="24">
        <f t="shared" si="1"/>
        <v>45791</v>
      </c>
      <c r="F18" s="25"/>
      <c r="N18" s="40"/>
      <c r="O18" s="41"/>
      <c r="P18" s="41"/>
      <c r="R18" s="41"/>
    </row>
    <row r="19">
      <c r="A19" s="22"/>
      <c r="C19" s="18">
        <f t="shared" si="2"/>
        <v>45792</v>
      </c>
      <c r="D19" s="24">
        <f t="shared" si="1"/>
        <v>45792</v>
      </c>
      <c r="F19" s="25"/>
      <c r="G19" s="21"/>
      <c r="N19" s="40"/>
      <c r="O19" s="41"/>
      <c r="P19" s="41"/>
      <c r="R19" s="41"/>
    </row>
    <row r="20">
      <c r="A20" s="22"/>
      <c r="C20" s="18">
        <f t="shared" si="2"/>
        <v>45793</v>
      </c>
      <c r="D20" s="24">
        <f t="shared" si="1"/>
        <v>45793</v>
      </c>
      <c r="F20" s="25"/>
      <c r="N20" s="40"/>
      <c r="O20" s="41"/>
      <c r="P20" s="41"/>
      <c r="R20" s="41"/>
    </row>
    <row r="21">
      <c r="A21" s="22"/>
      <c r="C21" s="18">
        <f t="shared" si="2"/>
        <v>45794</v>
      </c>
      <c r="D21" s="24">
        <f t="shared" si="1"/>
        <v>45794</v>
      </c>
      <c r="F21" s="25"/>
      <c r="N21" s="40"/>
      <c r="O21" s="41"/>
      <c r="P21" s="41"/>
      <c r="R21" s="41"/>
    </row>
    <row r="22">
      <c r="A22" s="22"/>
      <c r="B22" s="39"/>
      <c r="C22" s="18">
        <f t="shared" si="2"/>
        <v>45795</v>
      </c>
      <c r="D22" s="24">
        <f t="shared" si="1"/>
        <v>45795</v>
      </c>
      <c r="E22" s="31"/>
      <c r="F22" s="31"/>
      <c r="G22" s="31"/>
      <c r="H22" s="31"/>
      <c r="I22" s="32"/>
      <c r="J22" s="31"/>
      <c r="N22" s="40"/>
      <c r="O22" s="41"/>
      <c r="P22" s="41"/>
      <c r="R22" s="41"/>
    </row>
    <row r="23">
      <c r="A23" s="22"/>
      <c r="B23" s="34">
        <f>B16+1</f>
        <v>21</v>
      </c>
      <c r="C23" s="35">
        <f t="shared" si="2"/>
        <v>45796</v>
      </c>
      <c r="D23" s="36">
        <f t="shared" si="1"/>
        <v>45796</v>
      </c>
      <c r="E23" s="25"/>
      <c r="F23" s="20"/>
      <c r="G23" s="20"/>
      <c r="H23" s="20"/>
      <c r="J23" s="20"/>
      <c r="N23" s="40"/>
      <c r="O23" s="41"/>
      <c r="P23" s="41"/>
      <c r="R23" s="41"/>
    </row>
    <row r="24">
      <c r="A24" s="22"/>
      <c r="C24" s="18">
        <f t="shared" si="2"/>
        <v>45797</v>
      </c>
      <c r="D24" s="24">
        <f t="shared" si="1"/>
        <v>45797</v>
      </c>
      <c r="E24" s="21" t="s">
        <v>218</v>
      </c>
      <c r="N24" s="40"/>
      <c r="O24" s="41"/>
      <c r="P24" s="41"/>
      <c r="R24" s="41"/>
    </row>
    <row r="25">
      <c r="A25" s="22"/>
      <c r="C25" s="18">
        <f t="shared" si="2"/>
        <v>45798</v>
      </c>
      <c r="D25" s="24">
        <f t="shared" si="1"/>
        <v>45798</v>
      </c>
      <c r="E25" s="25"/>
      <c r="N25" s="40"/>
      <c r="O25" s="41"/>
      <c r="P25" s="41"/>
      <c r="R25" s="41"/>
    </row>
    <row r="26">
      <c r="A26" s="22"/>
      <c r="C26" s="18">
        <f t="shared" si="2"/>
        <v>45799</v>
      </c>
      <c r="D26" s="24">
        <f t="shared" si="1"/>
        <v>45799</v>
      </c>
      <c r="E26" s="25"/>
      <c r="N26" s="40"/>
      <c r="O26" s="41"/>
      <c r="P26" s="41"/>
      <c r="R26" s="41"/>
    </row>
    <row r="27">
      <c r="A27" s="22"/>
      <c r="C27" s="18">
        <f t="shared" si="2"/>
        <v>45800</v>
      </c>
      <c r="D27" s="24">
        <f t="shared" si="1"/>
        <v>45800</v>
      </c>
      <c r="E27" s="25"/>
      <c r="N27" s="40"/>
      <c r="O27" s="41"/>
      <c r="P27" s="41"/>
      <c r="R27" s="41"/>
    </row>
    <row r="28">
      <c r="A28" s="22"/>
      <c r="C28" s="18">
        <f t="shared" si="2"/>
        <v>45801</v>
      </c>
      <c r="D28" s="24">
        <f t="shared" si="1"/>
        <v>45801</v>
      </c>
      <c r="E28" s="25"/>
      <c r="N28" s="40"/>
      <c r="O28" s="41"/>
      <c r="P28" s="41"/>
      <c r="R28" s="41"/>
    </row>
    <row r="29">
      <c r="A29" s="22"/>
      <c r="B29" s="39"/>
      <c r="C29" s="18">
        <f t="shared" si="2"/>
        <v>45802</v>
      </c>
      <c r="D29" s="24">
        <f t="shared" si="1"/>
        <v>45802</v>
      </c>
      <c r="E29" s="87"/>
      <c r="F29" s="31"/>
      <c r="G29" s="32" t="s">
        <v>109</v>
      </c>
      <c r="H29" s="31"/>
      <c r="I29" s="32"/>
      <c r="J29" s="32" t="s">
        <v>232</v>
      </c>
      <c r="N29" s="40"/>
      <c r="O29" s="41"/>
      <c r="P29" s="41"/>
      <c r="R29" s="41"/>
    </row>
    <row r="30">
      <c r="A30" s="22"/>
      <c r="B30" s="34">
        <f>B23+1</f>
        <v>22</v>
      </c>
      <c r="C30" s="35">
        <f t="shared" si="2"/>
        <v>45803</v>
      </c>
      <c r="D30" s="36">
        <f t="shared" si="1"/>
        <v>45803</v>
      </c>
      <c r="F30" s="20"/>
      <c r="G30" s="20"/>
      <c r="J30" s="20"/>
      <c r="N30" s="40"/>
      <c r="O30" s="41"/>
      <c r="P30" s="41"/>
      <c r="R30" s="41"/>
    </row>
    <row r="31">
      <c r="A31" s="22"/>
      <c r="C31" s="18">
        <f t="shared" si="2"/>
        <v>45804</v>
      </c>
      <c r="D31" s="24">
        <f t="shared" si="1"/>
        <v>45804</v>
      </c>
      <c r="F31" s="25"/>
      <c r="N31" s="40"/>
      <c r="O31" s="41"/>
      <c r="P31" s="41"/>
      <c r="R31" s="41"/>
    </row>
    <row r="32">
      <c r="A32" s="22"/>
      <c r="C32" s="18">
        <f t="shared" si="2"/>
        <v>45805</v>
      </c>
      <c r="D32" s="24">
        <f t="shared" si="1"/>
        <v>45805</v>
      </c>
      <c r="F32" s="46" t="s">
        <v>233</v>
      </c>
      <c r="N32" s="40"/>
      <c r="O32" s="41"/>
      <c r="P32" s="41"/>
      <c r="R32" s="41"/>
    </row>
    <row r="33">
      <c r="A33" s="22"/>
      <c r="C33" s="44">
        <f t="shared" si="2"/>
        <v>45806</v>
      </c>
      <c r="D33" s="97">
        <f t="shared" si="1"/>
        <v>45806</v>
      </c>
      <c r="F33" s="25"/>
      <c r="G33" s="21" t="s">
        <v>234</v>
      </c>
      <c r="N33" s="40"/>
      <c r="O33" s="41"/>
      <c r="P33" s="41"/>
      <c r="R33" s="41"/>
    </row>
    <row r="34">
      <c r="A34" s="22"/>
      <c r="C34" s="18">
        <f t="shared" si="2"/>
        <v>45807</v>
      </c>
      <c r="D34" s="24">
        <f t="shared" si="1"/>
        <v>45807</v>
      </c>
      <c r="F34" s="46" t="s">
        <v>235</v>
      </c>
      <c r="G34" s="21" t="s">
        <v>231</v>
      </c>
      <c r="N34" s="40"/>
      <c r="O34" s="41"/>
      <c r="P34" s="41"/>
      <c r="R34" s="41"/>
    </row>
    <row r="35">
      <c r="A35" s="22"/>
      <c r="C35" s="18">
        <f t="shared" si="2"/>
        <v>45808</v>
      </c>
      <c r="D35" s="24">
        <f t="shared" si="1"/>
        <v>45808</v>
      </c>
      <c r="F35" s="25"/>
      <c r="N35" s="40"/>
      <c r="O35" s="41"/>
      <c r="P35" s="41"/>
      <c r="R35" s="41"/>
    </row>
    <row r="36">
      <c r="A36" s="22"/>
      <c r="B36" s="39"/>
      <c r="C36" s="18">
        <f t="shared" si="2"/>
        <v>45809</v>
      </c>
      <c r="D36" s="24">
        <f t="shared" si="1"/>
        <v>45809</v>
      </c>
      <c r="E36" s="31"/>
      <c r="F36" s="31"/>
      <c r="N36" s="40"/>
      <c r="O36" s="41"/>
      <c r="P36" s="41"/>
      <c r="R36" s="41"/>
    </row>
    <row r="37">
      <c r="A37" s="22"/>
      <c r="B37" s="34">
        <f>B30+1</f>
        <v>23</v>
      </c>
      <c r="C37" s="35">
        <f t="shared" si="2"/>
        <v>45810</v>
      </c>
      <c r="D37" s="36">
        <f t="shared" si="1"/>
        <v>45810</v>
      </c>
      <c r="F37" s="20"/>
      <c r="G37" s="20"/>
      <c r="H37" s="20"/>
      <c r="I37" s="20"/>
      <c r="J37" s="20"/>
    </row>
    <row r="38">
      <c r="A38" s="22"/>
      <c r="C38" s="18">
        <f t="shared" si="2"/>
        <v>45811</v>
      </c>
      <c r="D38" s="24">
        <f t="shared" si="1"/>
        <v>45811</v>
      </c>
    </row>
    <row r="39">
      <c r="A39" s="22"/>
      <c r="C39" s="18">
        <f t="shared" si="2"/>
        <v>45812</v>
      </c>
      <c r="D39" s="24">
        <f t="shared" si="1"/>
        <v>45812</v>
      </c>
    </row>
    <row r="40">
      <c r="A40" s="22"/>
      <c r="C40" s="18">
        <f t="shared" si="2"/>
        <v>45813</v>
      </c>
      <c r="D40" s="24">
        <f t="shared" si="1"/>
        <v>45813</v>
      </c>
    </row>
    <row r="41">
      <c r="A41" s="22"/>
      <c r="C41" s="18">
        <f t="shared" si="2"/>
        <v>45814</v>
      </c>
      <c r="D41" s="24">
        <f t="shared" si="1"/>
        <v>45814</v>
      </c>
    </row>
    <row r="42">
      <c r="A42" s="22"/>
      <c r="C42" s="18">
        <f t="shared" si="2"/>
        <v>45815</v>
      </c>
      <c r="D42" s="24">
        <f t="shared" si="1"/>
        <v>45815</v>
      </c>
    </row>
    <row r="43">
      <c r="A43" s="22"/>
      <c r="B43" s="39"/>
      <c r="C43" s="42">
        <f t="shared" si="2"/>
        <v>45816</v>
      </c>
      <c r="D43" s="43">
        <f t="shared" si="1"/>
        <v>45816</v>
      </c>
      <c r="E43" s="31"/>
      <c r="F43" s="31"/>
      <c r="G43" s="31"/>
      <c r="H43" s="31"/>
      <c r="I43" s="31"/>
      <c r="J43" s="31"/>
    </row>
  </sheetData>
  <autoFilter ref="$C$1:$C$1003">
    <sortState ref="C1:C1003">
      <sortCondition descending="1" sortBy="cellColor" ref="C1:C1003" dxfId="1"/>
    </sortState>
  </autoFilter>
  <mergeCells count="7">
    <mergeCell ref="A2:A43"/>
    <mergeCell ref="B2:B8"/>
    <mergeCell ref="B9:B15"/>
    <mergeCell ref="B16:B22"/>
    <mergeCell ref="B23:B29"/>
    <mergeCell ref="B30:B36"/>
    <mergeCell ref="B37:B43"/>
  </mergeCells>
  <conditionalFormatting sqref="C2:C43">
    <cfRule type="timePeriod" dxfId="2" priority="3" timePeriod="today"/>
  </conditionalFormatting>
  <conditionalFormatting sqref="E2:E28 F29 E30:E43">
    <cfRule type="expression" dxfId="3" priority="4">
      <formula>AND(MONTH($A$1)=MONTH(C2),OR(AND(MOD(WEEKNUM(C2,2),2),ISERROR(MATCH(WEEKDAY(C2,2),$Q$5:$Q$11,0))),AND(MOD(WEEKNUM(C2,2),2)=0,ISERROR(MATCH(WEEKDAY(C2,2),$R$5:$R$11,0)))))</formula>
    </cfRule>
  </conditionalFormatting>
  <conditionalFormatting sqref="F2:F43">
    <cfRule type="expression" dxfId="3" priority="5">
      <formula>AND(MONTH($A$1)=MONTH(C2),OR(AND(MOD(WEEKNUM(C2,2),2),NOT(ISERROR(MATCH(WEEKDAY(C2,2),$Q$5:$Q$11,0)))),AND(MOD(WEEKNUM(C2,2),2)=0,NOT(ISERROR(MATCH(WEEKDAY(C2,2),$R$5:$R$11,0))))))</formula>
    </cfRule>
  </conditionalFormatting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5.5"/>
    <col customWidth="1" min="3" max="3" width="2.88"/>
    <col customWidth="1" min="4" max="4" width="7.5"/>
    <col customWidth="1" min="5" max="5" width="23.0"/>
    <col customWidth="1" min="6" max="6" width="22.25"/>
    <col customWidth="1" min="7" max="7" width="13.38"/>
    <col customWidth="1" min="8" max="8" width="27.88"/>
    <col customWidth="1" min="9" max="9" width="22.63"/>
    <col customWidth="1" min="10" max="10" width="25.38"/>
    <col customWidth="1" min="14" max="14" width="23.63"/>
    <col customWidth="1" min="16" max="16" width="14.25"/>
  </cols>
  <sheetData>
    <row r="1">
      <c r="A1" s="11">
        <v>45809.0</v>
      </c>
      <c r="B1" s="12" t="s">
        <v>13</v>
      </c>
      <c r="C1" s="13"/>
      <c r="D1" s="14"/>
      <c r="E1" s="15" t="s">
        <v>5</v>
      </c>
      <c r="F1" s="15" t="s">
        <v>14</v>
      </c>
      <c r="G1" s="12"/>
      <c r="H1" s="12"/>
      <c r="I1" s="12" t="s">
        <v>15</v>
      </c>
      <c r="J1" s="12" t="s">
        <v>16</v>
      </c>
    </row>
    <row r="2">
      <c r="A2" s="16">
        <f>A1</f>
        <v>45809</v>
      </c>
      <c r="B2" s="17">
        <v>22.0</v>
      </c>
      <c r="C2" s="18">
        <f>A1-WEEKDAY(A1,2)+1</f>
        <v>45803</v>
      </c>
      <c r="D2" s="19">
        <f t="shared" ref="D2:D43" si="1">C2</f>
        <v>45803</v>
      </c>
      <c r="F2" s="20"/>
      <c r="N2" s="21"/>
    </row>
    <row r="3">
      <c r="A3" s="22"/>
      <c r="B3" s="23"/>
      <c r="C3" s="18">
        <f t="shared" ref="C3:C43" si="2">C2+1</f>
        <v>45804</v>
      </c>
      <c r="D3" s="24">
        <f t="shared" si="1"/>
        <v>45804</v>
      </c>
      <c r="N3" s="21"/>
    </row>
    <row r="4">
      <c r="A4" s="22"/>
      <c r="B4" s="23"/>
      <c r="C4" s="18">
        <f t="shared" si="2"/>
        <v>45805</v>
      </c>
      <c r="D4" s="24">
        <f t="shared" si="1"/>
        <v>45805</v>
      </c>
      <c r="N4" s="21"/>
    </row>
    <row r="5">
      <c r="A5" s="22"/>
      <c r="B5" s="23"/>
      <c r="C5" s="18">
        <f t="shared" si="2"/>
        <v>45806</v>
      </c>
      <c r="D5" s="24">
        <f t="shared" si="1"/>
        <v>45806</v>
      </c>
      <c r="M5" s="26"/>
      <c r="N5" s="21" t="s">
        <v>17</v>
      </c>
      <c r="Q5" s="27"/>
      <c r="R5" s="27">
        <v>1.0</v>
      </c>
    </row>
    <row r="6">
      <c r="A6" s="22"/>
      <c r="B6" s="23"/>
      <c r="C6" s="18">
        <f t="shared" si="2"/>
        <v>45807</v>
      </c>
      <c r="D6" s="24">
        <f t="shared" si="1"/>
        <v>45807</v>
      </c>
      <c r="M6" s="28"/>
      <c r="N6" s="21" t="s">
        <v>18</v>
      </c>
      <c r="Q6" s="27"/>
      <c r="R6" s="27">
        <v>2.0</v>
      </c>
    </row>
    <row r="7">
      <c r="A7" s="22"/>
      <c r="B7" s="23"/>
      <c r="C7" s="18">
        <f t="shared" si="2"/>
        <v>45808</v>
      </c>
      <c r="D7" s="24">
        <f t="shared" si="1"/>
        <v>45808</v>
      </c>
      <c r="Q7" s="29"/>
      <c r="R7" s="27">
        <v>3.0</v>
      </c>
    </row>
    <row r="8">
      <c r="A8" s="22"/>
      <c r="B8" s="30"/>
      <c r="C8" s="18">
        <f t="shared" si="2"/>
        <v>45809</v>
      </c>
      <c r="D8" s="24">
        <f t="shared" si="1"/>
        <v>45809</v>
      </c>
      <c r="E8" s="31"/>
      <c r="F8" s="31"/>
      <c r="G8" s="32"/>
      <c r="H8" s="32"/>
      <c r="I8" s="32"/>
      <c r="J8" s="31"/>
      <c r="M8" s="33"/>
      <c r="N8" s="21" t="s">
        <v>19</v>
      </c>
      <c r="Q8" s="29"/>
      <c r="R8" s="27">
        <v>4.0</v>
      </c>
    </row>
    <row r="9">
      <c r="A9" s="22"/>
      <c r="B9" s="34">
        <f>B2+1</f>
        <v>23</v>
      </c>
      <c r="C9" s="35">
        <f t="shared" si="2"/>
        <v>45810</v>
      </c>
      <c r="D9" s="36">
        <f t="shared" si="1"/>
        <v>45810</v>
      </c>
      <c r="E9" s="25"/>
      <c r="F9" s="20"/>
      <c r="G9" s="20"/>
      <c r="H9" s="73" t="s">
        <v>236</v>
      </c>
      <c r="I9" s="20"/>
      <c r="J9" s="20"/>
      <c r="M9" s="37"/>
      <c r="N9" s="21" t="s">
        <v>20</v>
      </c>
      <c r="Q9" s="29"/>
      <c r="R9" s="27">
        <v>5.0</v>
      </c>
    </row>
    <row r="10">
      <c r="A10" s="22"/>
      <c r="C10" s="18">
        <f t="shared" si="2"/>
        <v>45811</v>
      </c>
      <c r="D10" s="24">
        <f t="shared" si="1"/>
        <v>45811</v>
      </c>
      <c r="E10" s="25"/>
      <c r="Q10" s="29"/>
      <c r="R10" s="27">
        <v>6.0</v>
      </c>
    </row>
    <row r="11">
      <c r="A11" s="22"/>
      <c r="C11" s="18">
        <f t="shared" si="2"/>
        <v>45812</v>
      </c>
      <c r="D11" s="24">
        <f t="shared" si="1"/>
        <v>45812</v>
      </c>
      <c r="E11" s="25"/>
      <c r="Q11" s="29"/>
      <c r="R11" s="27">
        <v>7.0</v>
      </c>
    </row>
    <row r="12">
      <c r="A12" s="22"/>
      <c r="C12" s="18">
        <f t="shared" si="2"/>
        <v>45813</v>
      </c>
      <c r="D12" s="24">
        <f t="shared" si="1"/>
        <v>45813</v>
      </c>
      <c r="E12" s="25"/>
      <c r="K12" s="38"/>
    </row>
    <row r="13">
      <c r="A13" s="22"/>
      <c r="C13" s="44">
        <f t="shared" si="2"/>
        <v>45814</v>
      </c>
      <c r="D13" s="97">
        <f t="shared" si="1"/>
        <v>45814</v>
      </c>
      <c r="E13" s="25"/>
    </row>
    <row r="14">
      <c r="A14" s="22"/>
      <c r="C14" s="18">
        <f t="shared" si="2"/>
        <v>45815</v>
      </c>
      <c r="D14" s="24">
        <f t="shared" si="1"/>
        <v>45815</v>
      </c>
      <c r="E14" s="25"/>
    </row>
    <row r="15">
      <c r="A15" s="22"/>
      <c r="B15" s="39"/>
      <c r="C15" s="18">
        <f t="shared" si="2"/>
        <v>45816</v>
      </c>
      <c r="D15" s="24">
        <f t="shared" si="1"/>
        <v>45816</v>
      </c>
      <c r="E15" s="31"/>
      <c r="F15" s="31"/>
      <c r="G15" s="31"/>
      <c r="H15" s="31"/>
      <c r="I15" s="31"/>
      <c r="J15" s="31"/>
    </row>
    <row r="16">
      <c r="A16" s="22"/>
      <c r="B16" s="34">
        <f>B9+1</f>
        <v>24</v>
      </c>
      <c r="C16" s="35">
        <f t="shared" si="2"/>
        <v>45817</v>
      </c>
      <c r="D16" s="36">
        <f t="shared" si="1"/>
        <v>45817</v>
      </c>
      <c r="F16" s="20"/>
      <c r="I16" s="20"/>
      <c r="J16" s="20"/>
      <c r="N16" s="40"/>
      <c r="O16" s="41"/>
      <c r="P16" s="41"/>
      <c r="R16" s="41"/>
    </row>
    <row r="17">
      <c r="A17" s="22"/>
      <c r="C17" s="18">
        <f t="shared" si="2"/>
        <v>45818</v>
      </c>
      <c r="D17" s="24">
        <f t="shared" si="1"/>
        <v>45818</v>
      </c>
      <c r="F17" s="25"/>
      <c r="N17" s="40"/>
      <c r="O17" s="41"/>
      <c r="P17" s="41"/>
      <c r="R17" s="41"/>
    </row>
    <row r="18">
      <c r="A18" s="22"/>
      <c r="C18" s="18">
        <f t="shared" si="2"/>
        <v>45819</v>
      </c>
      <c r="D18" s="24">
        <f t="shared" si="1"/>
        <v>45819</v>
      </c>
      <c r="F18" s="25"/>
      <c r="N18" s="40"/>
      <c r="O18" s="41"/>
      <c r="P18" s="41"/>
      <c r="R18" s="41"/>
    </row>
    <row r="19">
      <c r="A19" s="22"/>
      <c r="C19" s="18">
        <f t="shared" si="2"/>
        <v>45820</v>
      </c>
      <c r="D19" s="24">
        <f t="shared" si="1"/>
        <v>45820</v>
      </c>
      <c r="F19" s="25"/>
      <c r="G19" s="21"/>
      <c r="N19" s="40"/>
      <c r="O19" s="41"/>
      <c r="P19" s="41"/>
      <c r="R19" s="41"/>
    </row>
    <row r="20">
      <c r="A20" s="22"/>
      <c r="C20" s="18">
        <f t="shared" si="2"/>
        <v>45821</v>
      </c>
      <c r="D20" s="24">
        <f t="shared" si="1"/>
        <v>45821</v>
      </c>
      <c r="F20" s="25"/>
      <c r="N20" s="40"/>
      <c r="O20" s="41"/>
      <c r="P20" s="41"/>
      <c r="R20" s="41"/>
    </row>
    <row r="21">
      <c r="A21" s="22"/>
      <c r="C21" s="18">
        <f t="shared" si="2"/>
        <v>45822</v>
      </c>
      <c r="D21" s="24">
        <f t="shared" si="1"/>
        <v>45822</v>
      </c>
      <c r="F21" s="25"/>
      <c r="N21" s="40"/>
      <c r="O21" s="41"/>
      <c r="P21" s="41"/>
      <c r="R21" s="41"/>
    </row>
    <row r="22">
      <c r="A22" s="22"/>
      <c r="B22" s="39"/>
      <c r="C22" s="18">
        <f t="shared" si="2"/>
        <v>45823</v>
      </c>
      <c r="D22" s="24">
        <f t="shared" si="1"/>
        <v>45823</v>
      </c>
      <c r="E22" s="31"/>
      <c r="F22" s="31"/>
      <c r="G22" s="31"/>
      <c r="H22" s="31"/>
      <c r="I22" s="32"/>
      <c r="J22" s="31"/>
      <c r="N22" s="40"/>
      <c r="O22" s="41"/>
      <c r="P22" s="41"/>
      <c r="R22" s="41"/>
    </row>
    <row r="23">
      <c r="A23" s="22"/>
      <c r="B23" s="34">
        <f>B16+1</f>
        <v>25</v>
      </c>
      <c r="C23" s="35">
        <f t="shared" si="2"/>
        <v>45824</v>
      </c>
      <c r="D23" s="36">
        <f t="shared" si="1"/>
        <v>45824</v>
      </c>
      <c r="E23" s="46"/>
      <c r="F23" s="20"/>
      <c r="G23" s="20"/>
      <c r="H23" s="20"/>
      <c r="J23" s="20"/>
      <c r="N23" s="40"/>
      <c r="O23" s="41"/>
      <c r="P23" s="41"/>
      <c r="R23" s="41"/>
    </row>
    <row r="24">
      <c r="A24" s="22"/>
      <c r="C24" s="18">
        <f t="shared" si="2"/>
        <v>45825</v>
      </c>
      <c r="D24" s="24">
        <f t="shared" si="1"/>
        <v>45825</v>
      </c>
      <c r="E24" s="25"/>
      <c r="N24" s="40"/>
      <c r="O24" s="41"/>
      <c r="P24" s="41"/>
      <c r="R24" s="41"/>
    </row>
    <row r="25">
      <c r="A25" s="22"/>
      <c r="C25" s="18">
        <f t="shared" si="2"/>
        <v>45826</v>
      </c>
      <c r="D25" s="24">
        <f t="shared" si="1"/>
        <v>45826</v>
      </c>
      <c r="E25" s="25"/>
      <c r="H25" s="46" t="s">
        <v>237</v>
      </c>
      <c r="N25" s="40"/>
      <c r="O25" s="41"/>
      <c r="P25" s="41"/>
      <c r="R25" s="41"/>
    </row>
    <row r="26">
      <c r="A26" s="22"/>
      <c r="C26" s="18">
        <f t="shared" si="2"/>
        <v>45827</v>
      </c>
      <c r="D26" s="24">
        <f t="shared" si="1"/>
        <v>45827</v>
      </c>
      <c r="E26" s="28"/>
      <c r="F26" s="25"/>
      <c r="H26" s="46" t="s">
        <v>233</v>
      </c>
      <c r="N26" s="40"/>
      <c r="O26" s="41"/>
      <c r="P26" s="41"/>
      <c r="R26" s="41"/>
    </row>
    <row r="27">
      <c r="A27" s="22"/>
      <c r="C27" s="18">
        <f t="shared" si="2"/>
        <v>45828</v>
      </c>
      <c r="D27" s="24">
        <f t="shared" si="1"/>
        <v>45828</v>
      </c>
      <c r="E27" s="28"/>
      <c r="F27" s="25"/>
      <c r="N27" s="40"/>
      <c r="O27" s="41"/>
      <c r="P27" s="41"/>
      <c r="R27" s="41"/>
    </row>
    <row r="28">
      <c r="A28" s="22"/>
      <c r="C28" s="18">
        <f t="shared" si="2"/>
        <v>45829</v>
      </c>
      <c r="D28" s="24">
        <f t="shared" si="1"/>
        <v>45829</v>
      </c>
      <c r="E28" s="28"/>
      <c r="F28" s="25"/>
      <c r="N28" s="40"/>
      <c r="O28" s="41"/>
      <c r="P28" s="41"/>
      <c r="R28" s="41"/>
    </row>
    <row r="29">
      <c r="A29" s="22"/>
      <c r="B29" s="39"/>
      <c r="C29" s="18">
        <f t="shared" si="2"/>
        <v>45830</v>
      </c>
      <c r="D29" s="24">
        <f t="shared" si="1"/>
        <v>45830</v>
      </c>
      <c r="E29" s="28"/>
      <c r="F29" s="25"/>
      <c r="G29" s="31"/>
      <c r="H29" s="31"/>
      <c r="I29" s="32"/>
      <c r="J29" s="31"/>
      <c r="N29" s="40"/>
      <c r="O29" s="41"/>
      <c r="P29" s="41"/>
      <c r="R29" s="41"/>
    </row>
    <row r="30">
      <c r="A30" s="22"/>
      <c r="B30" s="34">
        <f>B23+1</f>
        <v>26</v>
      </c>
      <c r="C30" s="35">
        <f t="shared" si="2"/>
        <v>45831</v>
      </c>
      <c r="D30" s="36">
        <f t="shared" si="1"/>
        <v>45831</v>
      </c>
      <c r="E30" s="20"/>
      <c r="F30" s="80"/>
      <c r="G30" s="20"/>
      <c r="J30" s="20"/>
      <c r="N30" s="40"/>
      <c r="O30" s="41"/>
      <c r="P30" s="41"/>
      <c r="R30" s="41"/>
    </row>
    <row r="31">
      <c r="A31" s="22"/>
      <c r="C31" s="18">
        <f t="shared" si="2"/>
        <v>45832</v>
      </c>
      <c r="D31" s="24">
        <f t="shared" si="1"/>
        <v>45832</v>
      </c>
      <c r="F31" s="25"/>
      <c r="N31" s="40"/>
      <c r="O31" s="41"/>
      <c r="P31" s="41"/>
      <c r="R31" s="41"/>
    </row>
    <row r="32">
      <c r="A32" s="22"/>
      <c r="C32" s="18">
        <f t="shared" si="2"/>
        <v>45833</v>
      </c>
      <c r="D32" s="24">
        <f t="shared" si="1"/>
        <v>45833</v>
      </c>
      <c r="F32" s="21" t="s">
        <v>238</v>
      </c>
      <c r="N32" s="40"/>
      <c r="O32" s="41"/>
      <c r="P32" s="41"/>
      <c r="R32" s="41"/>
    </row>
    <row r="33">
      <c r="A33" s="22"/>
      <c r="C33" s="18">
        <f t="shared" si="2"/>
        <v>45834</v>
      </c>
      <c r="D33" s="24">
        <f t="shared" si="1"/>
        <v>45834</v>
      </c>
      <c r="F33" s="25"/>
      <c r="N33" s="40"/>
      <c r="O33" s="41"/>
      <c r="P33" s="41"/>
      <c r="R33" s="41"/>
    </row>
    <row r="34">
      <c r="A34" s="22"/>
      <c r="C34" s="18">
        <f t="shared" si="2"/>
        <v>45835</v>
      </c>
      <c r="D34" s="24">
        <f t="shared" si="1"/>
        <v>45835</v>
      </c>
      <c r="F34" s="25"/>
      <c r="N34" s="40"/>
      <c r="O34" s="41"/>
      <c r="P34" s="41"/>
      <c r="R34" s="41"/>
    </row>
    <row r="35">
      <c r="A35" s="22"/>
      <c r="C35" s="18">
        <f t="shared" si="2"/>
        <v>45836</v>
      </c>
      <c r="D35" s="24">
        <f t="shared" si="1"/>
        <v>45836</v>
      </c>
      <c r="E35" s="26"/>
      <c r="F35" s="28"/>
      <c r="N35" s="40"/>
      <c r="O35" s="41"/>
      <c r="P35" s="41"/>
      <c r="R35" s="41"/>
    </row>
    <row r="36">
      <c r="A36" s="22"/>
      <c r="B36" s="39"/>
      <c r="C36" s="18">
        <f t="shared" si="2"/>
        <v>45837</v>
      </c>
      <c r="D36" s="24">
        <f t="shared" si="1"/>
        <v>45837</v>
      </c>
      <c r="E36" s="58"/>
      <c r="F36" s="28"/>
      <c r="N36" s="40"/>
      <c r="O36" s="41"/>
      <c r="P36" s="41"/>
      <c r="R36" s="41"/>
    </row>
    <row r="37">
      <c r="A37" s="22"/>
      <c r="B37" s="34">
        <f>B30+1</f>
        <v>27</v>
      </c>
      <c r="C37" s="35">
        <f t="shared" si="2"/>
        <v>45838</v>
      </c>
      <c r="D37" s="36">
        <f t="shared" si="1"/>
        <v>45838</v>
      </c>
      <c r="E37" s="21" t="s">
        <v>239</v>
      </c>
      <c r="F37" s="20"/>
      <c r="G37" s="20"/>
      <c r="H37" s="20"/>
      <c r="I37" s="20"/>
      <c r="J37" s="20"/>
    </row>
    <row r="38">
      <c r="A38" s="22"/>
      <c r="C38" s="18">
        <f t="shared" si="2"/>
        <v>45839</v>
      </c>
      <c r="D38" s="24">
        <f t="shared" si="1"/>
        <v>45839</v>
      </c>
    </row>
    <row r="39">
      <c r="A39" s="22"/>
      <c r="C39" s="18">
        <f t="shared" si="2"/>
        <v>45840</v>
      </c>
      <c r="D39" s="24">
        <f t="shared" si="1"/>
        <v>45840</v>
      </c>
    </row>
    <row r="40">
      <c r="A40" s="22"/>
      <c r="C40" s="18">
        <f t="shared" si="2"/>
        <v>45841</v>
      </c>
      <c r="D40" s="24">
        <f t="shared" si="1"/>
        <v>45841</v>
      </c>
    </row>
    <row r="41">
      <c r="A41" s="22"/>
      <c r="C41" s="18">
        <f t="shared" si="2"/>
        <v>45842</v>
      </c>
      <c r="D41" s="24">
        <f t="shared" si="1"/>
        <v>45842</v>
      </c>
    </row>
    <row r="42">
      <c r="A42" s="22"/>
      <c r="C42" s="18">
        <f t="shared" si="2"/>
        <v>45843</v>
      </c>
      <c r="D42" s="24">
        <f t="shared" si="1"/>
        <v>45843</v>
      </c>
    </row>
    <row r="43">
      <c r="A43" s="22"/>
      <c r="B43" s="39"/>
      <c r="C43" s="42">
        <f t="shared" si="2"/>
        <v>45844</v>
      </c>
      <c r="D43" s="43">
        <f t="shared" si="1"/>
        <v>45844</v>
      </c>
      <c r="E43" s="31"/>
      <c r="F43" s="31"/>
      <c r="G43" s="31"/>
      <c r="H43" s="31"/>
      <c r="I43" s="31"/>
      <c r="J43" s="31"/>
    </row>
  </sheetData>
  <autoFilter ref="$C$1:$C$1003">
    <sortState ref="C1:C1003">
      <sortCondition descending="1" sortBy="cellColor" ref="C1:C1003" dxfId="1"/>
    </sortState>
  </autoFilter>
  <mergeCells count="7">
    <mergeCell ref="A2:A43"/>
    <mergeCell ref="B2:B8"/>
    <mergeCell ref="B9:B15"/>
    <mergeCell ref="B16:B22"/>
    <mergeCell ref="B23:B29"/>
    <mergeCell ref="B30:B36"/>
    <mergeCell ref="B37:B43"/>
  </mergeCells>
  <conditionalFormatting sqref="C2:C43">
    <cfRule type="timePeriod" dxfId="2" priority="3" timePeriod="today"/>
  </conditionalFormatting>
  <conditionalFormatting sqref="E2:E25 F26:F29 E30:E34 E37:E43">
    <cfRule type="expression" dxfId="3" priority="4">
      <formula>AND(MONTH($A$1)=MONTH(C2),OR(AND(MOD(WEEKNUM(C2,2),2),ISERROR(MATCH(WEEKDAY(C2,2),$Q$5:$Q$11,0))),AND(MOD(WEEKNUM(C2,2),2)=0,ISERROR(MATCH(WEEKDAY(C2,2),$R$5:$R$11,0)))))</formula>
    </cfRule>
  </conditionalFormatting>
  <conditionalFormatting sqref="F2:F25 E30 F30:F34 F37:F43">
    <cfRule type="expression" dxfId="3" priority="5">
      <formula>AND(MONTH($A$1)=MONTH(C2),OR(AND(MOD(WEEKNUM(C2,2),2),NOT(ISERROR(MATCH(WEEKDAY(C2,2),$Q$5:$Q$11,0)))),AND(MOD(WEEKNUM(C2,2),2)=0,NOT(ISERROR(MATCH(WEEKDAY(C2,2),$R$5:$R$11,0))))))</formula>
    </cfRule>
  </conditionalFormatting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5.5"/>
    <col customWidth="1" min="3" max="3" width="2.88"/>
    <col customWidth="1" min="4" max="4" width="7.5"/>
    <col customWidth="1" min="5" max="6" width="19.5"/>
    <col customWidth="1" min="7" max="7" width="13.38"/>
    <col customWidth="1" min="8" max="8" width="27.88"/>
    <col customWidth="1" min="9" max="9" width="22.63"/>
    <col customWidth="1" min="10" max="10" width="25.38"/>
    <col customWidth="1" min="14" max="14" width="23.63"/>
    <col customWidth="1" min="16" max="16" width="14.25"/>
  </cols>
  <sheetData>
    <row r="1">
      <c r="A1" s="11">
        <v>45839.0</v>
      </c>
      <c r="B1" s="12" t="s">
        <v>13</v>
      </c>
      <c r="C1" s="13"/>
      <c r="D1" s="14"/>
      <c r="E1" s="15" t="s">
        <v>5</v>
      </c>
      <c r="F1" s="15" t="s">
        <v>14</v>
      </c>
      <c r="G1" s="12"/>
      <c r="H1" s="12"/>
      <c r="I1" s="12" t="s">
        <v>15</v>
      </c>
      <c r="J1" s="12" t="s">
        <v>16</v>
      </c>
    </row>
    <row r="2">
      <c r="A2" s="16">
        <f>A1</f>
        <v>45839</v>
      </c>
      <c r="B2" s="17">
        <f>WEEKNUM(A1)</f>
        <v>27</v>
      </c>
      <c r="C2" s="18">
        <f>A1-WEEKDAY(A1,2)+1</f>
        <v>45838</v>
      </c>
      <c r="D2" s="19">
        <f t="shared" ref="D2:D43" si="1">C2</f>
        <v>45838</v>
      </c>
      <c r="F2" s="20"/>
      <c r="N2" s="21"/>
    </row>
    <row r="3">
      <c r="A3" s="22"/>
      <c r="B3" s="23"/>
      <c r="C3" s="18">
        <f t="shared" ref="C3:C43" si="2">C2+1</f>
        <v>45839</v>
      </c>
      <c r="D3" s="24">
        <f t="shared" si="1"/>
        <v>45839</v>
      </c>
      <c r="E3" s="21" t="s">
        <v>239</v>
      </c>
      <c r="N3" s="21"/>
    </row>
    <row r="4">
      <c r="A4" s="22"/>
      <c r="B4" s="23"/>
      <c r="C4" s="18">
        <f t="shared" si="2"/>
        <v>45840</v>
      </c>
      <c r="D4" s="24">
        <f t="shared" si="1"/>
        <v>45840</v>
      </c>
      <c r="E4" s="21" t="s">
        <v>239</v>
      </c>
      <c r="N4" s="21"/>
    </row>
    <row r="5">
      <c r="A5" s="22"/>
      <c r="B5" s="23"/>
      <c r="C5" s="18">
        <f t="shared" si="2"/>
        <v>45841</v>
      </c>
      <c r="D5" s="24">
        <f t="shared" si="1"/>
        <v>45841</v>
      </c>
      <c r="E5" s="21" t="s">
        <v>239</v>
      </c>
      <c r="M5" s="26"/>
      <c r="N5" s="21" t="s">
        <v>17</v>
      </c>
      <c r="Q5" s="27"/>
      <c r="R5" s="27">
        <v>1.0</v>
      </c>
    </row>
    <row r="6">
      <c r="A6" s="22"/>
      <c r="B6" s="23"/>
      <c r="C6" s="18">
        <f t="shared" si="2"/>
        <v>45842</v>
      </c>
      <c r="D6" s="24">
        <f t="shared" si="1"/>
        <v>45842</v>
      </c>
      <c r="E6" s="21" t="s">
        <v>239</v>
      </c>
      <c r="M6" s="28"/>
      <c r="N6" s="21" t="s">
        <v>18</v>
      </c>
      <c r="Q6" s="27"/>
      <c r="R6" s="27">
        <v>2.0</v>
      </c>
    </row>
    <row r="7">
      <c r="A7" s="22"/>
      <c r="B7" s="23"/>
      <c r="C7" s="18">
        <f t="shared" si="2"/>
        <v>45843</v>
      </c>
      <c r="D7" s="24">
        <f t="shared" si="1"/>
        <v>45843</v>
      </c>
      <c r="E7" s="25"/>
      <c r="Q7" s="29"/>
      <c r="R7" s="27">
        <v>3.0</v>
      </c>
    </row>
    <row r="8">
      <c r="A8" s="22"/>
      <c r="B8" s="30"/>
      <c r="C8" s="18">
        <f t="shared" si="2"/>
        <v>45844</v>
      </c>
      <c r="D8" s="24">
        <f t="shared" si="1"/>
        <v>45844</v>
      </c>
      <c r="E8" s="31"/>
      <c r="F8" s="31"/>
      <c r="G8" s="32"/>
      <c r="H8" s="32"/>
      <c r="I8" s="32"/>
      <c r="J8" s="31"/>
      <c r="M8" s="33"/>
      <c r="N8" s="21" t="s">
        <v>19</v>
      </c>
      <c r="Q8" s="29"/>
      <c r="R8" s="27">
        <v>4.0</v>
      </c>
    </row>
    <row r="9">
      <c r="A9" s="22"/>
      <c r="B9" s="34">
        <f>B2+1</f>
        <v>28</v>
      </c>
      <c r="C9" s="35">
        <f t="shared" si="2"/>
        <v>45845</v>
      </c>
      <c r="D9" s="36">
        <f t="shared" si="1"/>
        <v>45845</v>
      </c>
      <c r="F9" s="80" t="s">
        <v>239</v>
      </c>
      <c r="G9" s="20"/>
      <c r="H9" s="80" t="s">
        <v>240</v>
      </c>
      <c r="I9" s="20"/>
      <c r="J9" s="20"/>
      <c r="M9" s="37"/>
      <c r="N9" s="21" t="s">
        <v>20</v>
      </c>
      <c r="Q9" s="29"/>
      <c r="R9" s="27">
        <v>5.0</v>
      </c>
    </row>
    <row r="10">
      <c r="A10" s="22"/>
      <c r="C10" s="18">
        <f t="shared" si="2"/>
        <v>45846</v>
      </c>
      <c r="D10" s="24">
        <f t="shared" si="1"/>
        <v>45846</v>
      </c>
      <c r="F10" s="21" t="s">
        <v>239</v>
      </c>
      <c r="Q10" s="29"/>
      <c r="R10" s="27">
        <v>6.0</v>
      </c>
    </row>
    <row r="11">
      <c r="A11" s="22"/>
      <c r="C11" s="18">
        <f t="shared" si="2"/>
        <v>45847</v>
      </c>
      <c r="D11" s="24">
        <f t="shared" si="1"/>
        <v>45847</v>
      </c>
      <c r="F11" s="21" t="s">
        <v>239</v>
      </c>
      <c r="Q11" s="29"/>
      <c r="R11" s="27">
        <v>7.0</v>
      </c>
    </row>
    <row r="12">
      <c r="A12" s="22"/>
      <c r="C12" s="18">
        <f t="shared" si="2"/>
        <v>45848</v>
      </c>
      <c r="D12" s="24">
        <f t="shared" si="1"/>
        <v>45848</v>
      </c>
      <c r="F12" s="21" t="s">
        <v>239</v>
      </c>
      <c r="K12" s="38"/>
    </row>
    <row r="13">
      <c r="A13" s="22"/>
      <c r="C13" s="107">
        <f t="shared" si="2"/>
        <v>45849</v>
      </c>
      <c r="D13" s="108">
        <f t="shared" si="1"/>
        <v>45849</v>
      </c>
      <c r="F13" s="21" t="s">
        <v>239</v>
      </c>
    </row>
    <row r="14">
      <c r="A14" s="22"/>
      <c r="C14" s="18">
        <f t="shared" si="2"/>
        <v>45850</v>
      </c>
      <c r="D14" s="24">
        <f t="shared" si="1"/>
        <v>45850</v>
      </c>
      <c r="F14" s="25"/>
    </row>
    <row r="15">
      <c r="A15" s="22"/>
      <c r="B15" s="39"/>
      <c r="C15" s="18">
        <f t="shared" si="2"/>
        <v>45851</v>
      </c>
      <c r="D15" s="24">
        <f t="shared" si="1"/>
        <v>45851</v>
      </c>
      <c r="E15" s="32" t="s">
        <v>241</v>
      </c>
      <c r="F15" s="31"/>
      <c r="G15" s="31"/>
      <c r="H15" s="32"/>
      <c r="I15" s="31"/>
      <c r="J15" s="31"/>
    </row>
    <row r="16">
      <c r="A16" s="22"/>
      <c r="B16" s="34">
        <f>B9+1</f>
        <v>29</v>
      </c>
      <c r="C16" s="35">
        <f t="shared" si="2"/>
        <v>45852</v>
      </c>
      <c r="D16" s="36">
        <f t="shared" si="1"/>
        <v>45852</v>
      </c>
      <c r="E16" s="21" t="s">
        <v>239</v>
      </c>
      <c r="F16" s="20"/>
      <c r="H16" s="80" t="s">
        <v>240</v>
      </c>
      <c r="I16" s="20"/>
      <c r="J16" s="20"/>
      <c r="N16" s="40"/>
      <c r="O16" s="41"/>
      <c r="P16" s="41"/>
      <c r="R16" s="41"/>
    </row>
    <row r="17">
      <c r="A17" s="22"/>
      <c r="C17" s="18">
        <f t="shared" si="2"/>
        <v>45853</v>
      </c>
      <c r="D17" s="24">
        <f t="shared" si="1"/>
        <v>45853</v>
      </c>
      <c r="E17" s="21" t="s">
        <v>239</v>
      </c>
      <c r="N17" s="40"/>
      <c r="O17" s="41"/>
      <c r="P17" s="41"/>
      <c r="R17" s="41"/>
    </row>
    <row r="18">
      <c r="A18" s="22"/>
      <c r="C18" s="18">
        <f t="shared" si="2"/>
        <v>45854</v>
      </c>
      <c r="D18" s="24">
        <f t="shared" si="1"/>
        <v>45854</v>
      </c>
      <c r="E18" s="21" t="s">
        <v>239</v>
      </c>
      <c r="N18" s="40"/>
      <c r="O18" s="41"/>
      <c r="P18" s="41"/>
      <c r="R18" s="41"/>
    </row>
    <row r="19">
      <c r="A19" s="22"/>
      <c r="C19" s="18">
        <f t="shared" si="2"/>
        <v>45855</v>
      </c>
      <c r="D19" s="24">
        <f t="shared" si="1"/>
        <v>45855</v>
      </c>
      <c r="E19" s="21" t="s">
        <v>239</v>
      </c>
      <c r="G19" s="21"/>
      <c r="N19" s="40"/>
      <c r="O19" s="41"/>
      <c r="P19" s="41"/>
      <c r="R19" s="41"/>
    </row>
    <row r="20">
      <c r="A20" s="22"/>
      <c r="C20" s="18">
        <f t="shared" si="2"/>
        <v>45856</v>
      </c>
      <c r="D20" s="24">
        <f t="shared" si="1"/>
        <v>45856</v>
      </c>
      <c r="E20" s="21" t="s">
        <v>239</v>
      </c>
      <c r="N20" s="40"/>
      <c r="O20" s="41"/>
      <c r="P20" s="41"/>
      <c r="R20" s="41"/>
    </row>
    <row r="21">
      <c r="A21" s="22"/>
      <c r="C21" s="18">
        <f t="shared" si="2"/>
        <v>45857</v>
      </c>
      <c r="D21" s="24">
        <f t="shared" si="1"/>
        <v>45857</v>
      </c>
      <c r="E21" s="25"/>
      <c r="N21" s="40"/>
      <c r="O21" s="41"/>
      <c r="P21" s="41"/>
      <c r="R21" s="41"/>
    </row>
    <row r="22">
      <c r="A22" s="22"/>
      <c r="B22" s="39"/>
      <c r="C22" s="18">
        <f t="shared" si="2"/>
        <v>45858</v>
      </c>
      <c r="D22" s="24">
        <f t="shared" si="1"/>
        <v>45858</v>
      </c>
      <c r="E22" s="31"/>
      <c r="F22" s="32" t="s">
        <v>241</v>
      </c>
      <c r="G22" s="31"/>
      <c r="H22" s="32"/>
      <c r="I22" s="32"/>
      <c r="J22" s="31"/>
      <c r="N22" s="40"/>
      <c r="O22" s="41"/>
      <c r="P22" s="41"/>
      <c r="R22" s="41"/>
    </row>
    <row r="23">
      <c r="A23" s="22"/>
      <c r="B23" s="34">
        <f>B16+1</f>
        <v>30</v>
      </c>
      <c r="C23" s="35">
        <f t="shared" si="2"/>
        <v>45859</v>
      </c>
      <c r="D23" s="36">
        <f t="shared" si="1"/>
        <v>45859</v>
      </c>
      <c r="F23" s="80" t="s">
        <v>242</v>
      </c>
      <c r="G23" s="20"/>
      <c r="H23" s="80" t="s">
        <v>240</v>
      </c>
      <c r="J23" s="20"/>
      <c r="N23" s="40"/>
      <c r="O23" s="41"/>
      <c r="P23" s="41"/>
      <c r="R23" s="41"/>
    </row>
    <row r="24">
      <c r="A24" s="22"/>
      <c r="C24" s="18">
        <f t="shared" si="2"/>
        <v>45860</v>
      </c>
      <c r="D24" s="24">
        <f t="shared" si="1"/>
        <v>45860</v>
      </c>
      <c r="F24" s="21" t="s">
        <v>117</v>
      </c>
      <c r="N24" s="40"/>
      <c r="O24" s="41"/>
      <c r="P24" s="41"/>
      <c r="R24" s="41"/>
    </row>
    <row r="25">
      <c r="A25" s="22"/>
      <c r="C25" s="18">
        <f t="shared" si="2"/>
        <v>45861</v>
      </c>
      <c r="D25" s="24">
        <f t="shared" si="1"/>
        <v>45861</v>
      </c>
      <c r="F25" s="21" t="s">
        <v>117</v>
      </c>
      <c r="N25" s="40"/>
      <c r="O25" s="41"/>
      <c r="P25" s="41"/>
      <c r="R25" s="41"/>
    </row>
    <row r="26">
      <c r="A26" s="22"/>
      <c r="C26" s="18">
        <f t="shared" si="2"/>
        <v>45862</v>
      </c>
      <c r="D26" s="24">
        <f t="shared" si="1"/>
        <v>45862</v>
      </c>
      <c r="F26" s="21" t="s">
        <v>117</v>
      </c>
      <c r="N26" s="40"/>
      <c r="O26" s="41"/>
      <c r="P26" s="41"/>
      <c r="R26" s="41"/>
    </row>
    <row r="27">
      <c r="A27" s="22"/>
      <c r="C27" s="18">
        <f t="shared" si="2"/>
        <v>45863</v>
      </c>
      <c r="D27" s="24">
        <f t="shared" si="1"/>
        <v>45863</v>
      </c>
      <c r="F27" s="21" t="s">
        <v>117</v>
      </c>
      <c r="N27" s="40"/>
      <c r="O27" s="41"/>
      <c r="P27" s="41"/>
      <c r="R27" s="41"/>
    </row>
    <row r="28">
      <c r="A28" s="22"/>
      <c r="C28" s="18">
        <f t="shared" si="2"/>
        <v>45864</v>
      </c>
      <c r="D28" s="24">
        <f t="shared" si="1"/>
        <v>45864</v>
      </c>
      <c r="F28" s="21" t="s">
        <v>117</v>
      </c>
      <c r="N28" s="40"/>
      <c r="O28" s="41"/>
      <c r="P28" s="41"/>
      <c r="R28" s="41"/>
    </row>
    <row r="29">
      <c r="A29" s="22"/>
      <c r="B29" s="39"/>
      <c r="C29" s="18">
        <f t="shared" si="2"/>
        <v>45865</v>
      </c>
      <c r="D29" s="24">
        <f t="shared" si="1"/>
        <v>45865</v>
      </c>
      <c r="E29" s="31"/>
      <c r="F29" s="31"/>
      <c r="G29" s="31"/>
      <c r="H29" s="32"/>
      <c r="I29" s="32"/>
      <c r="J29" s="31"/>
      <c r="N29" s="40"/>
      <c r="O29" s="41"/>
      <c r="P29" s="41"/>
      <c r="R29" s="41"/>
    </row>
    <row r="30">
      <c r="A30" s="22"/>
      <c r="B30" s="34">
        <f>B23+1</f>
        <v>31</v>
      </c>
      <c r="C30" s="35">
        <f t="shared" si="2"/>
        <v>45866</v>
      </c>
      <c r="D30" s="36">
        <f t="shared" si="1"/>
        <v>45866</v>
      </c>
      <c r="E30" s="25"/>
      <c r="F30" s="20"/>
      <c r="G30" s="20"/>
      <c r="H30" s="80" t="s">
        <v>240</v>
      </c>
      <c r="J30" s="20"/>
      <c r="N30" s="40"/>
      <c r="O30" s="41"/>
      <c r="P30" s="41"/>
      <c r="R30" s="41"/>
    </row>
    <row r="31">
      <c r="A31" s="22"/>
      <c r="C31" s="18">
        <f t="shared" si="2"/>
        <v>45867</v>
      </c>
      <c r="D31" s="24">
        <f t="shared" si="1"/>
        <v>45867</v>
      </c>
      <c r="E31" s="25"/>
      <c r="N31" s="40"/>
      <c r="O31" s="41"/>
      <c r="P31" s="41"/>
      <c r="R31" s="41"/>
    </row>
    <row r="32">
      <c r="A32" s="22"/>
      <c r="C32" s="18">
        <f t="shared" si="2"/>
        <v>45868</v>
      </c>
      <c r="D32" s="24">
        <f t="shared" si="1"/>
        <v>45868</v>
      </c>
      <c r="E32" s="25"/>
      <c r="N32" s="40"/>
      <c r="O32" s="41"/>
      <c r="P32" s="41"/>
      <c r="R32" s="41"/>
    </row>
    <row r="33">
      <c r="A33" s="22"/>
      <c r="C33" s="18">
        <f t="shared" si="2"/>
        <v>45869</v>
      </c>
      <c r="D33" s="24">
        <f t="shared" si="1"/>
        <v>45869</v>
      </c>
      <c r="E33" s="25"/>
      <c r="N33" s="40"/>
      <c r="O33" s="41"/>
      <c r="P33" s="41"/>
      <c r="R33" s="41"/>
    </row>
    <row r="34">
      <c r="A34" s="22"/>
      <c r="C34" s="18">
        <f t="shared" si="2"/>
        <v>45870</v>
      </c>
      <c r="D34" s="24">
        <f t="shared" si="1"/>
        <v>45870</v>
      </c>
      <c r="N34" s="40"/>
      <c r="O34" s="41"/>
      <c r="P34" s="41"/>
      <c r="R34" s="41"/>
    </row>
    <row r="35">
      <c r="A35" s="22"/>
      <c r="C35" s="18">
        <f t="shared" si="2"/>
        <v>45871</v>
      </c>
      <c r="D35" s="24">
        <f t="shared" si="1"/>
        <v>45871</v>
      </c>
      <c r="N35" s="40"/>
      <c r="O35" s="41"/>
      <c r="P35" s="41"/>
      <c r="R35" s="41"/>
    </row>
    <row r="36">
      <c r="A36" s="22"/>
      <c r="B36" s="39"/>
      <c r="C36" s="18">
        <f t="shared" si="2"/>
        <v>45872</v>
      </c>
      <c r="D36" s="24">
        <f t="shared" si="1"/>
        <v>45872</v>
      </c>
      <c r="E36" s="31"/>
      <c r="F36" s="31"/>
      <c r="N36" s="40"/>
      <c r="O36" s="41"/>
      <c r="P36" s="41"/>
      <c r="R36" s="41"/>
    </row>
    <row r="37">
      <c r="A37" s="22"/>
      <c r="B37" s="34">
        <f>B30+1</f>
        <v>32</v>
      </c>
      <c r="C37" s="35">
        <f t="shared" si="2"/>
        <v>45873</v>
      </c>
      <c r="D37" s="36">
        <f t="shared" si="1"/>
        <v>45873</v>
      </c>
      <c r="F37" s="20"/>
      <c r="G37" s="20"/>
      <c r="H37" s="20"/>
      <c r="I37" s="20"/>
      <c r="J37" s="20"/>
    </row>
    <row r="38">
      <c r="A38" s="22"/>
      <c r="C38" s="18">
        <f t="shared" si="2"/>
        <v>45874</v>
      </c>
      <c r="D38" s="24">
        <f t="shared" si="1"/>
        <v>45874</v>
      </c>
    </row>
    <row r="39">
      <c r="A39" s="22"/>
      <c r="C39" s="18">
        <f t="shared" si="2"/>
        <v>45875</v>
      </c>
      <c r="D39" s="24">
        <f t="shared" si="1"/>
        <v>45875</v>
      </c>
    </row>
    <row r="40">
      <c r="A40" s="22"/>
      <c r="C40" s="18">
        <f t="shared" si="2"/>
        <v>45876</v>
      </c>
      <c r="D40" s="24">
        <f t="shared" si="1"/>
        <v>45876</v>
      </c>
    </row>
    <row r="41">
      <c r="A41" s="22"/>
      <c r="C41" s="18">
        <f t="shared" si="2"/>
        <v>45877</v>
      </c>
      <c r="D41" s="24">
        <f t="shared" si="1"/>
        <v>45877</v>
      </c>
    </row>
    <row r="42">
      <c r="A42" s="22"/>
      <c r="C42" s="18">
        <f t="shared" si="2"/>
        <v>45878</v>
      </c>
      <c r="D42" s="24">
        <f t="shared" si="1"/>
        <v>45878</v>
      </c>
    </row>
    <row r="43">
      <c r="A43" s="22"/>
      <c r="B43" s="39"/>
      <c r="C43" s="42">
        <f t="shared" si="2"/>
        <v>45879</v>
      </c>
      <c r="D43" s="43">
        <f t="shared" si="1"/>
        <v>45879</v>
      </c>
      <c r="E43" s="31"/>
      <c r="F43" s="31"/>
      <c r="G43" s="31"/>
      <c r="H43" s="31"/>
      <c r="I43" s="31"/>
      <c r="J43" s="31"/>
    </row>
  </sheetData>
  <autoFilter ref="$C$1:$C$1003">
    <sortState ref="C1:C1003">
      <sortCondition descending="1" sortBy="cellColor" ref="C1:C1003" dxfId="1"/>
    </sortState>
  </autoFilter>
  <mergeCells count="7">
    <mergeCell ref="A2:A43"/>
    <mergeCell ref="B2:B8"/>
    <mergeCell ref="B9:B15"/>
    <mergeCell ref="B16:B22"/>
    <mergeCell ref="B23:B29"/>
    <mergeCell ref="B30:B36"/>
    <mergeCell ref="B37:B43"/>
  </mergeCells>
  <conditionalFormatting sqref="C2:C43">
    <cfRule type="timePeriod" dxfId="2" priority="3" timePeriod="today"/>
  </conditionalFormatting>
  <conditionalFormatting sqref="E2:E43">
    <cfRule type="expression" dxfId="3" priority="4">
      <formula>AND(MONTH($A$1)=MONTH(C2),OR(AND(MOD(WEEKNUM(C2,2),2),ISERROR(MATCH(WEEKDAY(C2,2),$Q$5:$Q$11,0))),AND(MOD(WEEKNUM(C2,2),2)=0,ISERROR(MATCH(WEEKDAY(C2,2),$R$5:$R$11,0)))))</formula>
    </cfRule>
  </conditionalFormatting>
  <conditionalFormatting sqref="F2:F43">
    <cfRule type="expression" dxfId="3" priority="5">
      <formula>AND(MONTH($A$1)=MONTH(C2),OR(AND(MOD(WEEKNUM(C2,2),2),NOT(ISERROR(MATCH(WEEKDAY(C2,2),$Q$5:$Q$11,0)))),AND(MOD(WEEKNUM(C2,2),2)=0,NOT(ISERROR(MATCH(WEEKDAY(C2,2),$R$5:$R$11,0))))))</formula>
    </cfRule>
  </conditionalFormatting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5"/>
    <col customWidth="1" min="3" max="3" width="2.88"/>
    <col customWidth="1" min="4" max="4" width="7.5"/>
    <col customWidth="1" min="5" max="5" width="19.88"/>
    <col customWidth="1" min="6" max="6" width="20.75"/>
    <col customWidth="1" min="7" max="7" width="19.38"/>
    <col customWidth="1" min="8" max="8" width="13.38"/>
    <col customWidth="1" min="9" max="9" width="22.63"/>
    <col customWidth="1" min="10" max="10" width="25.38"/>
    <col customWidth="1" min="14" max="14" width="23.63"/>
    <col customWidth="1" min="16" max="16" width="14.25"/>
  </cols>
  <sheetData>
    <row r="1">
      <c r="A1" s="11">
        <v>45870.0</v>
      </c>
      <c r="B1" s="12" t="s">
        <v>13</v>
      </c>
      <c r="C1" s="13"/>
      <c r="D1" s="14"/>
      <c r="E1" s="15" t="s">
        <v>5</v>
      </c>
      <c r="F1" s="15" t="s">
        <v>14</v>
      </c>
      <c r="G1" s="12"/>
      <c r="H1" s="12"/>
      <c r="I1" s="12" t="s">
        <v>15</v>
      </c>
      <c r="J1" s="12" t="s">
        <v>16</v>
      </c>
    </row>
    <row r="2">
      <c r="A2" s="16">
        <f>A1</f>
        <v>45870</v>
      </c>
      <c r="B2" s="17">
        <f>WEEKNUM(A1)</f>
        <v>31</v>
      </c>
      <c r="C2" s="18">
        <f>A1-WEEKDAY(A1,2)+1</f>
        <v>45866</v>
      </c>
      <c r="D2" s="19">
        <f t="shared" ref="D2:D43" si="1">C2</f>
        <v>45866</v>
      </c>
      <c r="F2" s="20"/>
      <c r="N2" s="21"/>
    </row>
    <row r="3">
      <c r="A3" s="22"/>
      <c r="B3" s="23"/>
      <c r="C3" s="18">
        <f t="shared" ref="C3:C43" si="2">C2+1</f>
        <v>45867</v>
      </c>
      <c r="D3" s="24">
        <f t="shared" si="1"/>
        <v>45867</v>
      </c>
      <c r="N3" s="21"/>
    </row>
    <row r="4">
      <c r="A4" s="22"/>
      <c r="B4" s="23"/>
      <c r="C4" s="18">
        <f t="shared" si="2"/>
        <v>45868</v>
      </c>
      <c r="D4" s="24">
        <f t="shared" si="1"/>
        <v>45868</v>
      </c>
      <c r="N4" s="21"/>
    </row>
    <row r="5">
      <c r="A5" s="22"/>
      <c r="B5" s="23"/>
      <c r="C5" s="18">
        <f t="shared" si="2"/>
        <v>45869</v>
      </c>
      <c r="D5" s="24">
        <f t="shared" si="1"/>
        <v>45869</v>
      </c>
      <c r="M5" s="26"/>
      <c r="N5" s="21" t="s">
        <v>17</v>
      </c>
      <c r="Q5" s="27"/>
      <c r="R5" s="27">
        <v>1.0</v>
      </c>
    </row>
    <row r="6">
      <c r="A6" s="22"/>
      <c r="B6" s="23"/>
      <c r="C6" s="18">
        <f t="shared" si="2"/>
        <v>45870</v>
      </c>
      <c r="D6" s="24">
        <f t="shared" si="1"/>
        <v>45870</v>
      </c>
      <c r="E6" s="25"/>
      <c r="M6" s="28"/>
      <c r="N6" s="21" t="s">
        <v>18</v>
      </c>
      <c r="Q6" s="27"/>
      <c r="R6" s="27">
        <v>2.0</v>
      </c>
    </row>
    <row r="7">
      <c r="A7" s="22"/>
      <c r="B7" s="23"/>
      <c r="C7" s="18">
        <f t="shared" si="2"/>
        <v>45871</v>
      </c>
      <c r="D7" s="24">
        <f t="shared" si="1"/>
        <v>45871</v>
      </c>
      <c r="E7" s="25"/>
      <c r="Q7" s="29"/>
      <c r="R7" s="27">
        <v>3.0</v>
      </c>
    </row>
    <row r="8">
      <c r="A8" s="22"/>
      <c r="B8" s="30"/>
      <c r="C8" s="18">
        <f t="shared" si="2"/>
        <v>45872</v>
      </c>
      <c r="D8" s="24">
        <f t="shared" si="1"/>
        <v>45872</v>
      </c>
      <c r="E8" s="31"/>
      <c r="F8" s="31"/>
      <c r="G8" s="32"/>
      <c r="H8" s="32"/>
      <c r="I8" s="32"/>
      <c r="J8" s="31"/>
      <c r="M8" s="33"/>
      <c r="N8" s="21" t="s">
        <v>19</v>
      </c>
      <c r="Q8" s="29"/>
      <c r="R8" s="27">
        <v>4.0</v>
      </c>
    </row>
    <row r="9">
      <c r="A9" s="22"/>
      <c r="B9" s="34">
        <f>B2+1</f>
        <v>32</v>
      </c>
      <c r="C9" s="35">
        <f t="shared" si="2"/>
        <v>45873</v>
      </c>
      <c r="D9" s="36">
        <f t="shared" si="1"/>
        <v>45873</v>
      </c>
      <c r="F9" s="80" t="s">
        <v>243</v>
      </c>
      <c r="G9" s="20"/>
      <c r="H9" s="20"/>
      <c r="I9" s="20"/>
      <c r="J9" s="20"/>
      <c r="M9" s="37"/>
      <c r="N9" s="21" t="s">
        <v>20</v>
      </c>
      <c r="Q9" s="29"/>
      <c r="R9" s="27">
        <v>5.0</v>
      </c>
    </row>
    <row r="10">
      <c r="A10" s="22"/>
      <c r="C10" s="18">
        <f t="shared" si="2"/>
        <v>45874</v>
      </c>
      <c r="D10" s="24">
        <f t="shared" si="1"/>
        <v>45874</v>
      </c>
      <c r="F10" s="21" t="s">
        <v>244</v>
      </c>
      <c r="G10" s="21" t="s">
        <v>245</v>
      </c>
      <c r="Q10" s="29"/>
      <c r="R10" s="27">
        <v>6.0</v>
      </c>
    </row>
    <row r="11">
      <c r="A11" s="22"/>
      <c r="C11" s="18">
        <f t="shared" si="2"/>
        <v>45875</v>
      </c>
      <c r="D11" s="24">
        <f t="shared" si="1"/>
        <v>45875</v>
      </c>
      <c r="F11" s="21" t="s">
        <v>244</v>
      </c>
      <c r="Q11" s="29"/>
      <c r="R11" s="27">
        <v>7.0</v>
      </c>
    </row>
    <row r="12">
      <c r="A12" s="22"/>
      <c r="C12" s="18">
        <f t="shared" si="2"/>
        <v>45876</v>
      </c>
      <c r="D12" s="24">
        <f t="shared" si="1"/>
        <v>45876</v>
      </c>
      <c r="F12" s="21" t="s">
        <v>244</v>
      </c>
      <c r="K12" s="38"/>
    </row>
    <row r="13">
      <c r="A13" s="22"/>
      <c r="C13" s="18">
        <f t="shared" si="2"/>
        <v>45877</v>
      </c>
      <c r="D13" s="24">
        <f t="shared" si="1"/>
        <v>45877</v>
      </c>
      <c r="F13" s="21" t="s">
        <v>244</v>
      </c>
    </row>
    <row r="14">
      <c r="A14" s="22"/>
      <c r="C14" s="18">
        <f t="shared" si="2"/>
        <v>45878</v>
      </c>
      <c r="D14" s="24">
        <f t="shared" si="1"/>
        <v>45878</v>
      </c>
      <c r="F14" s="25"/>
    </row>
    <row r="15">
      <c r="A15" s="22"/>
      <c r="B15" s="39"/>
      <c r="C15" s="18">
        <f t="shared" si="2"/>
        <v>45879</v>
      </c>
      <c r="D15" s="24">
        <f t="shared" si="1"/>
        <v>45879</v>
      </c>
      <c r="E15" s="31"/>
      <c r="F15" s="31"/>
      <c r="G15" s="31"/>
      <c r="H15" s="31"/>
      <c r="I15" s="31"/>
      <c r="J15" s="31"/>
    </row>
    <row r="16">
      <c r="A16" s="22"/>
      <c r="B16" s="34">
        <f>B9+1</f>
        <v>33</v>
      </c>
      <c r="C16" s="35">
        <f t="shared" si="2"/>
        <v>45880</v>
      </c>
      <c r="D16" s="36">
        <f t="shared" si="1"/>
        <v>45880</v>
      </c>
      <c r="E16" s="25"/>
      <c r="F16" s="20"/>
      <c r="I16" s="20"/>
      <c r="J16" s="20"/>
      <c r="N16" s="40"/>
      <c r="O16" s="41"/>
      <c r="P16" s="41"/>
      <c r="R16" s="41"/>
    </row>
    <row r="17">
      <c r="A17" s="22"/>
      <c r="C17" s="18">
        <f t="shared" si="2"/>
        <v>45881</v>
      </c>
      <c r="D17" s="24">
        <f t="shared" si="1"/>
        <v>45881</v>
      </c>
      <c r="E17" s="25"/>
      <c r="N17" s="40"/>
      <c r="O17" s="41"/>
      <c r="P17" s="41"/>
      <c r="R17" s="41"/>
    </row>
    <row r="18">
      <c r="A18" s="22"/>
      <c r="C18" s="18">
        <f t="shared" si="2"/>
        <v>45882</v>
      </c>
      <c r="D18" s="24">
        <f t="shared" si="1"/>
        <v>45882</v>
      </c>
      <c r="E18" s="25"/>
      <c r="N18" s="40"/>
      <c r="O18" s="41"/>
      <c r="P18" s="41"/>
      <c r="R18" s="41"/>
    </row>
    <row r="19">
      <c r="A19" s="22"/>
      <c r="C19" s="18">
        <f t="shared" si="2"/>
        <v>45883</v>
      </c>
      <c r="D19" s="24">
        <f t="shared" si="1"/>
        <v>45883</v>
      </c>
      <c r="E19" s="21" t="s">
        <v>239</v>
      </c>
      <c r="G19" s="21" t="s">
        <v>246</v>
      </c>
      <c r="N19" s="40"/>
      <c r="O19" s="41"/>
      <c r="P19" s="41"/>
      <c r="R19" s="41"/>
    </row>
    <row r="20">
      <c r="A20" s="22"/>
      <c r="C20" s="18">
        <f t="shared" si="2"/>
        <v>45884</v>
      </c>
      <c r="D20" s="24">
        <f t="shared" si="1"/>
        <v>45884</v>
      </c>
      <c r="E20" s="21" t="s">
        <v>239</v>
      </c>
      <c r="G20" s="21" t="s">
        <v>246</v>
      </c>
      <c r="N20" s="40"/>
      <c r="O20" s="41"/>
      <c r="P20" s="41"/>
      <c r="R20" s="41"/>
    </row>
    <row r="21">
      <c r="A21" s="22"/>
      <c r="C21" s="18">
        <f t="shared" si="2"/>
        <v>45885</v>
      </c>
      <c r="D21" s="24">
        <f t="shared" si="1"/>
        <v>45885</v>
      </c>
      <c r="E21" s="25"/>
      <c r="N21" s="40"/>
      <c r="O21" s="41"/>
      <c r="P21" s="41"/>
      <c r="R21" s="41"/>
    </row>
    <row r="22">
      <c r="A22" s="22"/>
      <c r="B22" s="39"/>
      <c r="C22" s="18">
        <f t="shared" si="2"/>
        <v>45886</v>
      </c>
      <c r="D22" s="24">
        <f t="shared" si="1"/>
        <v>45886</v>
      </c>
      <c r="E22" s="31"/>
      <c r="F22" s="31"/>
      <c r="G22" s="31"/>
      <c r="H22" s="31"/>
      <c r="I22" s="32"/>
      <c r="J22" s="31"/>
      <c r="N22" s="40"/>
      <c r="O22" s="41"/>
      <c r="P22" s="41"/>
      <c r="R22" s="41"/>
    </row>
    <row r="23">
      <c r="A23" s="22"/>
      <c r="B23" s="34">
        <f>B16+1</f>
        <v>34</v>
      </c>
      <c r="C23" s="35">
        <f t="shared" si="2"/>
        <v>45887</v>
      </c>
      <c r="D23" s="36">
        <f t="shared" si="1"/>
        <v>45887</v>
      </c>
      <c r="F23" s="20"/>
      <c r="G23" s="20"/>
      <c r="H23" s="20"/>
      <c r="J23" s="20"/>
      <c r="N23" s="40"/>
      <c r="O23" s="41"/>
      <c r="P23" s="41"/>
      <c r="R23" s="41"/>
    </row>
    <row r="24">
      <c r="A24" s="22"/>
      <c r="C24" s="18">
        <f t="shared" si="2"/>
        <v>45888</v>
      </c>
      <c r="D24" s="24">
        <f t="shared" si="1"/>
        <v>45888</v>
      </c>
      <c r="F24" s="25"/>
      <c r="N24" s="40"/>
      <c r="O24" s="41"/>
      <c r="P24" s="41"/>
      <c r="R24" s="41"/>
    </row>
    <row r="25">
      <c r="A25" s="22"/>
      <c r="C25" s="18">
        <f t="shared" si="2"/>
        <v>45889</v>
      </c>
      <c r="D25" s="24">
        <f t="shared" si="1"/>
        <v>45889</v>
      </c>
      <c r="F25" s="25"/>
      <c r="N25" s="40"/>
      <c r="O25" s="41"/>
      <c r="P25" s="41"/>
      <c r="R25" s="41"/>
    </row>
    <row r="26">
      <c r="A26" s="22"/>
      <c r="C26" s="18">
        <f t="shared" si="2"/>
        <v>45890</v>
      </c>
      <c r="D26" s="24">
        <f t="shared" si="1"/>
        <v>45890</v>
      </c>
      <c r="F26" s="25"/>
      <c r="N26" s="40"/>
      <c r="O26" s="41"/>
      <c r="P26" s="41"/>
      <c r="R26" s="41"/>
    </row>
    <row r="27">
      <c r="A27" s="22"/>
      <c r="C27" s="18">
        <f t="shared" si="2"/>
        <v>45891</v>
      </c>
      <c r="D27" s="24">
        <f t="shared" si="1"/>
        <v>45891</v>
      </c>
      <c r="F27" s="25"/>
      <c r="N27" s="40"/>
      <c r="O27" s="41"/>
      <c r="P27" s="41"/>
      <c r="R27" s="41"/>
    </row>
    <row r="28">
      <c r="A28" s="22"/>
      <c r="C28" s="18">
        <f t="shared" si="2"/>
        <v>45892</v>
      </c>
      <c r="D28" s="24">
        <f t="shared" si="1"/>
        <v>45892</v>
      </c>
      <c r="F28" s="21" t="s">
        <v>247</v>
      </c>
      <c r="N28" s="40"/>
      <c r="O28" s="41"/>
      <c r="P28" s="41"/>
      <c r="R28" s="41"/>
    </row>
    <row r="29">
      <c r="A29" s="22"/>
      <c r="B29" s="39"/>
      <c r="C29" s="18">
        <f t="shared" si="2"/>
        <v>45893</v>
      </c>
      <c r="D29" s="24">
        <f t="shared" si="1"/>
        <v>45893</v>
      </c>
      <c r="E29" s="31"/>
      <c r="F29" s="31"/>
      <c r="G29" s="31"/>
      <c r="H29" s="31"/>
      <c r="I29" s="32"/>
      <c r="J29" s="31"/>
      <c r="N29" s="40"/>
      <c r="O29" s="41"/>
      <c r="P29" s="41"/>
      <c r="R29" s="41"/>
    </row>
    <row r="30">
      <c r="A30" s="22"/>
      <c r="B30" s="34">
        <f>B23+1</f>
        <v>35</v>
      </c>
      <c r="C30" s="35">
        <f t="shared" si="2"/>
        <v>45894</v>
      </c>
      <c r="D30" s="36">
        <f t="shared" si="1"/>
        <v>45894</v>
      </c>
      <c r="E30" s="25"/>
      <c r="F30" s="20"/>
      <c r="G30" s="20"/>
      <c r="J30" s="20"/>
      <c r="N30" s="40"/>
      <c r="O30" s="41"/>
      <c r="P30" s="41"/>
      <c r="R30" s="41"/>
    </row>
    <row r="31">
      <c r="A31" s="22"/>
      <c r="C31" s="18">
        <f t="shared" si="2"/>
        <v>45895</v>
      </c>
      <c r="D31" s="24">
        <f t="shared" si="1"/>
        <v>45895</v>
      </c>
      <c r="E31" s="25"/>
      <c r="N31" s="40"/>
      <c r="O31" s="41"/>
      <c r="P31" s="41"/>
      <c r="R31" s="41"/>
    </row>
    <row r="32">
      <c r="A32" s="22"/>
      <c r="C32" s="18">
        <f t="shared" si="2"/>
        <v>45896</v>
      </c>
      <c r="D32" s="24">
        <f t="shared" si="1"/>
        <v>45896</v>
      </c>
      <c r="E32" s="21" t="s">
        <v>248</v>
      </c>
      <c r="F32" s="21" t="s">
        <v>249</v>
      </c>
      <c r="N32" s="40"/>
      <c r="O32" s="41"/>
      <c r="P32" s="41"/>
      <c r="R32" s="41"/>
    </row>
    <row r="33">
      <c r="A33" s="22"/>
      <c r="C33" s="18">
        <f t="shared" si="2"/>
        <v>45897</v>
      </c>
      <c r="D33" s="24">
        <f t="shared" si="1"/>
        <v>45897</v>
      </c>
      <c r="E33" s="28"/>
      <c r="F33" s="25"/>
      <c r="N33" s="40"/>
      <c r="O33" s="41"/>
      <c r="P33" s="41"/>
      <c r="R33" s="41"/>
    </row>
    <row r="34">
      <c r="A34" s="22"/>
      <c r="C34" s="18">
        <f t="shared" si="2"/>
        <v>45898</v>
      </c>
      <c r="D34" s="24">
        <f t="shared" si="1"/>
        <v>45898</v>
      </c>
      <c r="E34" s="25"/>
      <c r="N34" s="40"/>
      <c r="O34" s="41"/>
      <c r="P34" s="41"/>
      <c r="R34" s="41"/>
    </row>
    <row r="35">
      <c r="A35" s="22"/>
      <c r="C35" s="18">
        <f t="shared" si="2"/>
        <v>45899</v>
      </c>
      <c r="D35" s="24">
        <f t="shared" si="1"/>
        <v>45899</v>
      </c>
      <c r="E35" s="25"/>
      <c r="N35" s="40"/>
      <c r="O35" s="41"/>
      <c r="P35" s="41"/>
      <c r="R35" s="41"/>
    </row>
    <row r="36">
      <c r="A36" s="22"/>
      <c r="B36" s="39"/>
      <c r="C36" s="18">
        <f t="shared" si="2"/>
        <v>45900</v>
      </c>
      <c r="D36" s="24">
        <f t="shared" si="1"/>
        <v>45900</v>
      </c>
      <c r="E36" s="31"/>
      <c r="F36" s="31"/>
      <c r="N36" s="40"/>
      <c r="O36" s="41"/>
      <c r="P36" s="41"/>
      <c r="R36" s="41"/>
    </row>
    <row r="37">
      <c r="A37" s="22"/>
      <c r="B37" s="34">
        <f>B30+1</f>
        <v>36</v>
      </c>
      <c r="C37" s="35">
        <f t="shared" si="2"/>
        <v>45901</v>
      </c>
      <c r="D37" s="36">
        <f t="shared" si="1"/>
        <v>45901</v>
      </c>
      <c r="F37" s="20"/>
      <c r="G37" s="20"/>
      <c r="H37" s="20"/>
      <c r="I37" s="20"/>
      <c r="J37" s="20"/>
    </row>
    <row r="38">
      <c r="A38" s="22"/>
      <c r="C38" s="18">
        <f t="shared" si="2"/>
        <v>45902</v>
      </c>
      <c r="D38" s="24">
        <f t="shared" si="1"/>
        <v>45902</v>
      </c>
    </row>
    <row r="39">
      <c r="A39" s="22"/>
      <c r="C39" s="18">
        <f t="shared" si="2"/>
        <v>45903</v>
      </c>
      <c r="D39" s="24">
        <f t="shared" si="1"/>
        <v>45903</v>
      </c>
    </row>
    <row r="40">
      <c r="A40" s="22"/>
      <c r="C40" s="18">
        <f t="shared" si="2"/>
        <v>45904</v>
      </c>
      <c r="D40" s="24">
        <f t="shared" si="1"/>
        <v>45904</v>
      </c>
    </row>
    <row r="41">
      <c r="A41" s="22"/>
      <c r="C41" s="18">
        <f t="shared" si="2"/>
        <v>45905</v>
      </c>
      <c r="D41" s="24">
        <f t="shared" si="1"/>
        <v>45905</v>
      </c>
    </row>
    <row r="42">
      <c r="A42" s="22"/>
      <c r="C42" s="18">
        <f t="shared" si="2"/>
        <v>45906</v>
      </c>
      <c r="D42" s="24">
        <f t="shared" si="1"/>
        <v>45906</v>
      </c>
    </row>
    <row r="43">
      <c r="A43" s="22"/>
      <c r="B43" s="39"/>
      <c r="C43" s="42">
        <f t="shared" si="2"/>
        <v>45907</v>
      </c>
      <c r="D43" s="43">
        <f t="shared" si="1"/>
        <v>45907</v>
      </c>
      <c r="E43" s="31"/>
      <c r="F43" s="31"/>
      <c r="G43" s="31"/>
      <c r="H43" s="31"/>
      <c r="I43" s="31"/>
      <c r="J43" s="31"/>
    </row>
  </sheetData>
  <autoFilter ref="$C$1:$C$1003">
    <sortState ref="C1:C1003">
      <sortCondition descending="1" sortBy="cellColor" ref="C1:C1003" dxfId="1"/>
    </sortState>
  </autoFilter>
  <mergeCells count="7">
    <mergeCell ref="A2:A43"/>
    <mergeCell ref="B2:B8"/>
    <mergeCell ref="B9:B15"/>
    <mergeCell ref="B16:B22"/>
    <mergeCell ref="B23:B29"/>
    <mergeCell ref="B30:B36"/>
    <mergeCell ref="B37:B43"/>
  </mergeCells>
  <conditionalFormatting sqref="C2:C43">
    <cfRule type="timePeriod" dxfId="2" priority="3" timePeriod="today"/>
  </conditionalFormatting>
  <conditionalFormatting sqref="E2:E32 F33 E34:E43">
    <cfRule type="expression" dxfId="3" priority="4">
      <formula>AND(MONTH($A$1)=MONTH(C2),OR(AND(MOD(WEEKNUM(C2,2),2),ISERROR(MATCH(WEEKDAY(C2,2),$Q$5:$Q$11,0))),AND(MOD(WEEKNUM(C2,2),2)=0,ISERROR(MATCH(WEEKDAY(C2,2),$R$5:$R$11,0)))))</formula>
    </cfRule>
  </conditionalFormatting>
  <conditionalFormatting sqref="F2:F43">
    <cfRule type="expression" dxfId="3" priority="5">
      <formula>AND(MONTH($A$1)=MONTH(C2),OR(AND(MOD(WEEKNUM(C2,2),2),NOT(ISERROR(MATCH(WEEKDAY(C2,2),$Q$5:$Q$11,0)))),AND(MOD(WEEKNUM(C2,2),2)=0,NOT(ISERROR(MATCH(WEEKDAY(C2,2),$R$5:$R$11,0))))))</formula>
    </cfRule>
  </conditionalFormatting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5"/>
    <col customWidth="1" min="3" max="3" width="2.88"/>
    <col customWidth="1" min="4" max="4" width="7.5"/>
    <col customWidth="1" min="5" max="6" width="22.25"/>
    <col customWidth="1" min="7" max="7" width="34.5"/>
    <col customWidth="1" min="8" max="8" width="13.38"/>
    <col customWidth="1" min="9" max="9" width="22.63"/>
    <col customWidth="1" min="10" max="10" width="25.38"/>
    <col customWidth="1" min="13" max="13" width="29.13"/>
    <col customWidth="1" min="14" max="14" width="23.63"/>
    <col customWidth="1" min="16" max="16" width="14.25"/>
  </cols>
  <sheetData>
    <row r="1">
      <c r="A1" s="11">
        <v>45901.0</v>
      </c>
      <c r="B1" s="12" t="s">
        <v>13</v>
      </c>
      <c r="C1" s="13"/>
      <c r="D1" s="14"/>
      <c r="E1" s="15" t="s">
        <v>5</v>
      </c>
      <c r="F1" s="15" t="s">
        <v>14</v>
      </c>
      <c r="G1" s="12"/>
      <c r="H1" s="12"/>
      <c r="I1" s="12" t="s">
        <v>15</v>
      </c>
      <c r="J1" s="12" t="s">
        <v>16</v>
      </c>
    </row>
    <row r="2">
      <c r="A2" s="16">
        <f>A1</f>
        <v>45901</v>
      </c>
      <c r="B2" s="17">
        <f>WEEKNUM(A1)</f>
        <v>36</v>
      </c>
      <c r="C2" s="18">
        <f>A1-WEEKDAY(A1,2)+1</f>
        <v>45901</v>
      </c>
      <c r="D2" s="19">
        <f t="shared" ref="D2:D43" si="1">C2</f>
        <v>45901</v>
      </c>
      <c r="F2" s="20"/>
      <c r="N2" s="21"/>
    </row>
    <row r="3">
      <c r="A3" s="22"/>
      <c r="B3" s="23"/>
      <c r="C3" s="18">
        <f t="shared" ref="C3:C43" si="2">C2+1</f>
        <v>45902</v>
      </c>
      <c r="D3" s="24">
        <f t="shared" si="1"/>
        <v>45902</v>
      </c>
      <c r="F3" s="25"/>
      <c r="N3" s="21"/>
    </row>
    <row r="4">
      <c r="A4" s="22"/>
      <c r="B4" s="23"/>
      <c r="C4" s="18">
        <f t="shared" si="2"/>
        <v>45903</v>
      </c>
      <c r="D4" s="24">
        <f t="shared" si="1"/>
        <v>45903</v>
      </c>
      <c r="F4" s="25"/>
      <c r="N4" s="21"/>
    </row>
    <row r="5">
      <c r="A5" s="22"/>
      <c r="B5" s="23"/>
      <c r="C5" s="18">
        <f t="shared" si="2"/>
        <v>45904</v>
      </c>
      <c r="D5" s="24">
        <f t="shared" si="1"/>
        <v>45904</v>
      </c>
      <c r="F5" s="25"/>
      <c r="L5" s="26"/>
      <c r="M5" s="21" t="s">
        <v>17</v>
      </c>
      <c r="Q5" s="27"/>
      <c r="R5" s="27">
        <v>1.0</v>
      </c>
    </row>
    <row r="6">
      <c r="A6" s="22"/>
      <c r="B6" s="23"/>
      <c r="C6" s="18">
        <f t="shared" si="2"/>
        <v>45905</v>
      </c>
      <c r="D6" s="24">
        <f t="shared" si="1"/>
        <v>45905</v>
      </c>
      <c r="F6" s="25"/>
      <c r="L6" s="28"/>
      <c r="M6" s="21" t="s">
        <v>18</v>
      </c>
      <c r="Q6" s="27"/>
      <c r="R6" s="27">
        <v>2.0</v>
      </c>
    </row>
    <row r="7">
      <c r="A7" s="22"/>
      <c r="B7" s="23"/>
      <c r="C7" s="18">
        <f t="shared" si="2"/>
        <v>45906</v>
      </c>
      <c r="D7" s="24">
        <f t="shared" si="1"/>
        <v>45906</v>
      </c>
      <c r="F7" s="25"/>
      <c r="Q7" s="29"/>
      <c r="R7" s="27">
        <v>3.0</v>
      </c>
    </row>
    <row r="8">
      <c r="A8" s="22"/>
      <c r="B8" s="30"/>
      <c r="C8" s="18">
        <f t="shared" si="2"/>
        <v>45907</v>
      </c>
      <c r="D8" s="24">
        <f t="shared" si="1"/>
        <v>45907</v>
      </c>
      <c r="E8" s="31"/>
      <c r="F8" s="31"/>
      <c r="G8" s="57" t="s">
        <v>250</v>
      </c>
      <c r="H8" s="32"/>
      <c r="I8" s="32"/>
      <c r="J8" s="31"/>
      <c r="L8" s="33"/>
      <c r="M8" s="21" t="s">
        <v>19</v>
      </c>
      <c r="Q8" s="29"/>
      <c r="R8" s="27">
        <v>4.0</v>
      </c>
    </row>
    <row r="9">
      <c r="A9" s="22"/>
      <c r="B9" s="34">
        <f>B2+1</f>
        <v>37</v>
      </c>
      <c r="C9" s="35">
        <f t="shared" si="2"/>
        <v>45908</v>
      </c>
      <c r="D9" s="36">
        <f t="shared" si="1"/>
        <v>45908</v>
      </c>
      <c r="E9" s="25"/>
      <c r="F9" s="20"/>
      <c r="G9" s="20"/>
      <c r="H9" s="20"/>
      <c r="I9" s="20"/>
      <c r="J9" s="20"/>
      <c r="L9" s="37"/>
      <c r="M9" s="21" t="s">
        <v>20</v>
      </c>
      <c r="Q9" s="29"/>
      <c r="R9" s="27">
        <v>5.0</v>
      </c>
    </row>
    <row r="10">
      <c r="A10" s="22"/>
      <c r="C10" s="18">
        <f t="shared" si="2"/>
        <v>45909</v>
      </c>
      <c r="D10" s="24">
        <f t="shared" si="1"/>
        <v>45909</v>
      </c>
      <c r="E10" s="25"/>
      <c r="Q10" s="29"/>
      <c r="R10" s="27">
        <v>6.0</v>
      </c>
    </row>
    <row r="11">
      <c r="A11" s="22"/>
      <c r="C11" s="18">
        <f t="shared" si="2"/>
        <v>45910</v>
      </c>
      <c r="D11" s="24">
        <f t="shared" si="1"/>
        <v>45910</v>
      </c>
      <c r="E11" s="25"/>
      <c r="Q11" s="29"/>
      <c r="R11" s="27">
        <v>7.0</v>
      </c>
    </row>
    <row r="12">
      <c r="A12" s="22"/>
      <c r="C12" s="18">
        <f t="shared" si="2"/>
        <v>45911</v>
      </c>
      <c r="D12" s="24">
        <f t="shared" si="1"/>
        <v>45911</v>
      </c>
      <c r="E12" s="21" t="s">
        <v>238</v>
      </c>
      <c r="G12" s="21" t="s">
        <v>251</v>
      </c>
      <c r="K12" s="38"/>
      <c r="L12" s="109"/>
      <c r="M12" s="110"/>
    </row>
    <row r="13">
      <c r="A13" s="22"/>
      <c r="C13" s="18">
        <f t="shared" si="2"/>
        <v>45912</v>
      </c>
      <c r="D13" s="24">
        <f t="shared" si="1"/>
        <v>45912</v>
      </c>
      <c r="E13" s="25"/>
      <c r="L13" s="111"/>
      <c r="M13" s="112" t="s">
        <v>252</v>
      </c>
    </row>
    <row r="14">
      <c r="A14" s="22"/>
      <c r="C14" s="18">
        <f t="shared" si="2"/>
        <v>45913</v>
      </c>
      <c r="D14" s="24">
        <f t="shared" si="1"/>
        <v>45913</v>
      </c>
      <c r="E14" s="21" t="s">
        <v>253</v>
      </c>
      <c r="L14" s="113" t="s">
        <v>254</v>
      </c>
      <c r="M14" s="114"/>
    </row>
    <row r="15">
      <c r="A15" s="22"/>
      <c r="B15" s="39"/>
      <c r="C15" s="18">
        <f t="shared" si="2"/>
        <v>45914</v>
      </c>
      <c r="D15" s="24">
        <f t="shared" si="1"/>
        <v>45914</v>
      </c>
      <c r="E15" s="31"/>
      <c r="F15" s="31"/>
      <c r="G15" s="32" t="s">
        <v>255</v>
      </c>
      <c r="H15" s="31"/>
      <c r="I15" s="31"/>
      <c r="J15" s="31"/>
      <c r="L15" s="115" t="s">
        <v>256</v>
      </c>
      <c r="M15" s="116" t="s">
        <v>257</v>
      </c>
    </row>
    <row r="16">
      <c r="A16" s="22"/>
      <c r="B16" s="34">
        <f>B9+1</f>
        <v>38</v>
      </c>
      <c r="C16" s="35">
        <f t="shared" si="2"/>
        <v>45915</v>
      </c>
      <c r="D16" s="36">
        <f t="shared" si="1"/>
        <v>45915</v>
      </c>
      <c r="F16" s="20"/>
      <c r="I16" s="20"/>
      <c r="J16" s="20"/>
      <c r="L16" s="117" t="s">
        <v>258</v>
      </c>
      <c r="M16" s="114"/>
      <c r="N16" s="40"/>
      <c r="O16" s="41"/>
      <c r="P16" s="41"/>
      <c r="R16" s="41"/>
    </row>
    <row r="17">
      <c r="A17" s="22"/>
      <c r="C17" s="18">
        <f t="shared" si="2"/>
        <v>45916</v>
      </c>
      <c r="D17" s="24">
        <f t="shared" si="1"/>
        <v>45916</v>
      </c>
      <c r="F17" s="25"/>
      <c r="L17" s="117" t="s">
        <v>259</v>
      </c>
      <c r="M17" s="114"/>
      <c r="N17" s="40"/>
      <c r="O17" s="41"/>
      <c r="P17" s="41"/>
      <c r="R17" s="41"/>
    </row>
    <row r="18">
      <c r="A18" s="22"/>
      <c r="C18" s="18">
        <f t="shared" si="2"/>
        <v>45917</v>
      </c>
      <c r="D18" s="24">
        <f t="shared" si="1"/>
        <v>45917</v>
      </c>
      <c r="F18" s="25"/>
      <c r="L18" s="115" t="s">
        <v>260</v>
      </c>
      <c r="M18" s="114"/>
      <c r="N18" s="40"/>
      <c r="O18" s="41"/>
      <c r="P18" s="41"/>
      <c r="R18" s="41"/>
    </row>
    <row r="19">
      <c r="A19" s="22"/>
      <c r="C19" s="18">
        <f t="shared" si="2"/>
        <v>45918</v>
      </c>
      <c r="D19" s="24">
        <f t="shared" si="1"/>
        <v>45918</v>
      </c>
      <c r="F19" s="25"/>
      <c r="G19" s="21"/>
      <c r="L19" s="115" t="s">
        <v>261</v>
      </c>
      <c r="M19" s="114"/>
      <c r="N19" s="40"/>
      <c r="O19" s="41"/>
      <c r="P19" s="41"/>
      <c r="R19" s="41"/>
    </row>
    <row r="20">
      <c r="A20" s="22"/>
      <c r="C20" s="18">
        <f t="shared" si="2"/>
        <v>45919</v>
      </c>
      <c r="D20" s="24">
        <f t="shared" si="1"/>
        <v>45919</v>
      </c>
      <c r="F20" s="25"/>
      <c r="L20" s="115" t="s">
        <v>262</v>
      </c>
      <c r="M20" s="114"/>
      <c r="N20" s="40"/>
      <c r="O20" s="41"/>
      <c r="P20" s="41"/>
      <c r="R20" s="41"/>
    </row>
    <row r="21">
      <c r="A21" s="22"/>
      <c r="C21" s="18">
        <f t="shared" si="2"/>
        <v>45920</v>
      </c>
      <c r="D21" s="24">
        <f t="shared" si="1"/>
        <v>45920</v>
      </c>
      <c r="F21" s="21" t="s">
        <v>263</v>
      </c>
      <c r="L21" s="115" t="s">
        <v>264</v>
      </c>
      <c r="M21" s="114"/>
      <c r="N21" s="40"/>
      <c r="O21" s="41"/>
      <c r="P21" s="41"/>
      <c r="R21" s="41"/>
    </row>
    <row r="22">
      <c r="A22" s="22"/>
      <c r="B22" s="39"/>
      <c r="C22" s="18">
        <f t="shared" si="2"/>
        <v>45921</v>
      </c>
      <c r="D22" s="24">
        <f t="shared" si="1"/>
        <v>45921</v>
      </c>
      <c r="E22" s="31"/>
      <c r="F22" s="31"/>
      <c r="G22" s="31"/>
      <c r="H22" s="31"/>
      <c r="I22" s="32"/>
      <c r="J22" s="31"/>
      <c r="L22" s="115" t="s">
        <v>265</v>
      </c>
      <c r="M22" s="114"/>
      <c r="N22" s="40"/>
      <c r="O22" s="41"/>
      <c r="P22" s="41"/>
      <c r="R22" s="41"/>
    </row>
    <row r="23">
      <c r="A23" s="22"/>
      <c r="B23" s="34">
        <f>B16+1</f>
        <v>39</v>
      </c>
      <c r="C23" s="35">
        <f t="shared" si="2"/>
        <v>45922</v>
      </c>
      <c r="D23" s="36">
        <f t="shared" si="1"/>
        <v>45922</v>
      </c>
      <c r="E23" s="25"/>
      <c r="F23" s="20"/>
      <c r="G23" s="20"/>
      <c r="H23" s="20"/>
      <c r="J23" s="20"/>
      <c r="L23" s="118"/>
      <c r="M23" s="119"/>
      <c r="N23" s="40"/>
      <c r="O23" s="41"/>
      <c r="P23" s="41"/>
      <c r="R23" s="41"/>
    </row>
    <row r="24">
      <c r="A24" s="22"/>
      <c r="C24" s="18">
        <f t="shared" si="2"/>
        <v>45923</v>
      </c>
      <c r="D24" s="24">
        <f t="shared" si="1"/>
        <v>45923</v>
      </c>
      <c r="E24" s="25"/>
      <c r="N24" s="40"/>
      <c r="O24" s="41"/>
      <c r="P24" s="41"/>
      <c r="R24" s="41"/>
    </row>
    <row r="25">
      <c r="A25" s="22"/>
      <c r="C25" s="18">
        <f t="shared" si="2"/>
        <v>45924</v>
      </c>
      <c r="D25" s="24">
        <f t="shared" si="1"/>
        <v>45924</v>
      </c>
      <c r="E25" s="25"/>
      <c r="N25" s="40"/>
      <c r="O25" s="41"/>
      <c r="P25" s="41"/>
      <c r="R25" s="41"/>
    </row>
    <row r="26">
      <c r="A26" s="22"/>
      <c r="C26" s="18">
        <f t="shared" si="2"/>
        <v>45925</v>
      </c>
      <c r="D26" s="24">
        <f t="shared" si="1"/>
        <v>45925</v>
      </c>
      <c r="E26" s="25"/>
      <c r="N26" s="40"/>
      <c r="O26" s="41"/>
      <c r="P26" s="41"/>
      <c r="R26" s="41"/>
    </row>
    <row r="27">
      <c r="A27" s="22"/>
      <c r="C27" s="18">
        <f t="shared" si="2"/>
        <v>45926</v>
      </c>
      <c r="D27" s="24">
        <f t="shared" si="1"/>
        <v>45926</v>
      </c>
      <c r="E27" s="25"/>
      <c r="N27" s="40"/>
      <c r="O27" s="41"/>
      <c r="P27" s="41"/>
      <c r="R27" s="41"/>
    </row>
    <row r="28">
      <c r="A28" s="22"/>
      <c r="C28" s="18">
        <f t="shared" si="2"/>
        <v>45927</v>
      </c>
      <c r="D28" s="24">
        <f t="shared" si="1"/>
        <v>45927</v>
      </c>
      <c r="E28" s="21" t="s">
        <v>263</v>
      </c>
      <c r="N28" s="40"/>
      <c r="O28" s="41"/>
      <c r="P28" s="41"/>
      <c r="R28" s="41"/>
    </row>
    <row r="29">
      <c r="A29" s="22"/>
      <c r="B29" s="39"/>
      <c r="C29" s="18">
        <f t="shared" si="2"/>
        <v>45928</v>
      </c>
      <c r="D29" s="24">
        <f t="shared" si="1"/>
        <v>45928</v>
      </c>
      <c r="E29" s="31"/>
      <c r="F29" s="31"/>
      <c r="G29" s="31"/>
      <c r="H29" s="31"/>
      <c r="I29" s="32"/>
      <c r="J29" s="31"/>
      <c r="N29" s="40"/>
      <c r="O29" s="41"/>
      <c r="P29" s="41"/>
      <c r="R29" s="41"/>
    </row>
    <row r="30">
      <c r="A30" s="22"/>
      <c r="B30" s="34">
        <f>B23+1</f>
        <v>40</v>
      </c>
      <c r="C30" s="35">
        <f t="shared" si="2"/>
        <v>45929</v>
      </c>
      <c r="D30" s="36">
        <f t="shared" si="1"/>
        <v>45929</v>
      </c>
      <c r="F30" s="20"/>
      <c r="G30" s="20"/>
      <c r="J30" s="20"/>
      <c r="N30" s="40"/>
      <c r="O30" s="41"/>
      <c r="P30" s="41"/>
      <c r="R30" s="41"/>
    </row>
    <row r="31">
      <c r="A31" s="22"/>
      <c r="C31" s="18">
        <f t="shared" si="2"/>
        <v>45930</v>
      </c>
      <c r="D31" s="24">
        <f t="shared" si="1"/>
        <v>45930</v>
      </c>
      <c r="F31" s="25"/>
      <c r="N31" s="40"/>
      <c r="O31" s="41"/>
      <c r="P31" s="41"/>
      <c r="R31" s="41"/>
    </row>
    <row r="32">
      <c r="A32" s="22"/>
      <c r="C32" s="18">
        <f t="shared" si="2"/>
        <v>45931</v>
      </c>
      <c r="D32" s="24">
        <f t="shared" si="1"/>
        <v>45931</v>
      </c>
      <c r="N32" s="40"/>
      <c r="O32" s="41"/>
      <c r="P32" s="41"/>
      <c r="R32" s="41"/>
    </row>
    <row r="33">
      <c r="A33" s="22"/>
      <c r="C33" s="18">
        <f t="shared" si="2"/>
        <v>45932</v>
      </c>
      <c r="D33" s="24">
        <f t="shared" si="1"/>
        <v>45932</v>
      </c>
      <c r="N33" s="40"/>
      <c r="O33" s="41"/>
      <c r="P33" s="41"/>
      <c r="R33" s="41"/>
    </row>
    <row r="34">
      <c r="A34" s="22"/>
      <c r="C34" s="18">
        <f t="shared" si="2"/>
        <v>45933</v>
      </c>
      <c r="D34" s="24">
        <f t="shared" si="1"/>
        <v>45933</v>
      </c>
      <c r="N34" s="40"/>
      <c r="O34" s="41"/>
      <c r="P34" s="41"/>
      <c r="R34" s="41"/>
    </row>
    <row r="35">
      <c r="A35" s="22"/>
      <c r="C35" s="18">
        <f t="shared" si="2"/>
        <v>45934</v>
      </c>
      <c r="D35" s="24">
        <f t="shared" si="1"/>
        <v>45934</v>
      </c>
      <c r="N35" s="40"/>
      <c r="O35" s="41"/>
      <c r="P35" s="41"/>
      <c r="R35" s="41"/>
    </row>
    <row r="36">
      <c r="A36" s="22"/>
      <c r="B36" s="39"/>
      <c r="C36" s="18">
        <f t="shared" si="2"/>
        <v>45935</v>
      </c>
      <c r="D36" s="24">
        <f t="shared" si="1"/>
        <v>45935</v>
      </c>
      <c r="E36" s="31"/>
      <c r="F36" s="31"/>
      <c r="N36" s="40"/>
      <c r="O36" s="41"/>
      <c r="P36" s="41"/>
      <c r="R36" s="41"/>
    </row>
    <row r="37">
      <c r="A37" s="22"/>
      <c r="B37" s="34">
        <f>B30+1</f>
        <v>41</v>
      </c>
      <c r="C37" s="35">
        <f t="shared" si="2"/>
        <v>45936</v>
      </c>
      <c r="D37" s="36">
        <f t="shared" si="1"/>
        <v>45936</v>
      </c>
      <c r="F37" s="20"/>
      <c r="G37" s="20"/>
      <c r="H37" s="20"/>
      <c r="I37" s="20"/>
      <c r="J37" s="20"/>
    </row>
    <row r="38">
      <c r="A38" s="22"/>
      <c r="C38" s="18">
        <f t="shared" si="2"/>
        <v>45937</v>
      </c>
      <c r="D38" s="24">
        <f t="shared" si="1"/>
        <v>45937</v>
      </c>
    </row>
    <row r="39">
      <c r="A39" s="22"/>
      <c r="C39" s="18">
        <f t="shared" si="2"/>
        <v>45938</v>
      </c>
      <c r="D39" s="24">
        <f t="shared" si="1"/>
        <v>45938</v>
      </c>
    </row>
    <row r="40">
      <c r="A40" s="22"/>
      <c r="C40" s="18">
        <f t="shared" si="2"/>
        <v>45939</v>
      </c>
      <c r="D40" s="24">
        <f t="shared" si="1"/>
        <v>45939</v>
      </c>
    </row>
    <row r="41">
      <c r="A41" s="22"/>
      <c r="C41" s="18">
        <f t="shared" si="2"/>
        <v>45940</v>
      </c>
      <c r="D41" s="24">
        <f t="shared" si="1"/>
        <v>45940</v>
      </c>
    </row>
    <row r="42">
      <c r="A42" s="22"/>
      <c r="C42" s="18">
        <f t="shared" si="2"/>
        <v>45941</v>
      </c>
      <c r="D42" s="24">
        <f t="shared" si="1"/>
        <v>45941</v>
      </c>
    </row>
    <row r="43">
      <c r="A43" s="22"/>
      <c r="B43" s="39"/>
      <c r="C43" s="42">
        <f t="shared" si="2"/>
        <v>45942</v>
      </c>
      <c r="D43" s="43">
        <f t="shared" si="1"/>
        <v>45942</v>
      </c>
      <c r="E43" s="31"/>
      <c r="F43" s="31"/>
      <c r="G43" s="31"/>
      <c r="H43" s="31"/>
      <c r="I43" s="31"/>
      <c r="J43" s="31"/>
    </row>
  </sheetData>
  <autoFilter ref="$C$1:$C$1003">
    <sortState ref="C1:C1003">
      <sortCondition descending="1" sortBy="cellColor" ref="C1:C1003" dxfId="1"/>
    </sortState>
  </autoFilter>
  <mergeCells count="7">
    <mergeCell ref="A2:A43"/>
    <mergeCell ref="B2:B8"/>
    <mergeCell ref="B9:B15"/>
    <mergeCell ref="B16:B22"/>
    <mergeCell ref="B23:B29"/>
    <mergeCell ref="B30:B36"/>
    <mergeCell ref="B37:B43"/>
  </mergeCells>
  <conditionalFormatting sqref="C2:C43">
    <cfRule type="timePeriod" dxfId="2" priority="3" timePeriod="today"/>
  </conditionalFormatting>
  <conditionalFormatting sqref="E2:E43 F21">
    <cfRule type="expression" dxfId="3" priority="4">
      <formula>AND(MONTH($A$1)=MONTH(C2),OR(AND(MOD(WEEKNUM(C2,2),2),ISERROR(MATCH(WEEKDAY(C2,2),$Q$5:$Q$11,0))),AND(MOD(WEEKNUM(C2,2),2)=0,ISERROR(MATCH(WEEKDAY(C2,2),$R$5:$R$11,0)))))</formula>
    </cfRule>
  </conditionalFormatting>
  <conditionalFormatting sqref="F2:F43 E14 E28">
    <cfRule type="expression" dxfId="3" priority="5">
      <formula>AND(MONTH($A$1)=MONTH(C2),OR(AND(MOD(WEEKNUM(C2,2),2),NOT(ISERROR(MATCH(WEEKDAY(C2,2),$Q$5:$Q$11,0)))),AND(MOD(WEEKNUM(C2,2),2)=0,NOT(ISERROR(MATCH(WEEKDAY(C2,2),$R$5:$R$11,0))))))</formula>
    </cfRule>
  </conditionalFormatting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5"/>
    <col customWidth="1" min="3" max="3" width="2.88"/>
    <col customWidth="1" min="4" max="4" width="7.5"/>
    <col customWidth="1" min="5" max="6" width="22.25"/>
    <col customWidth="1" min="7" max="8" width="13.38"/>
    <col customWidth="1" min="9" max="9" width="22.63"/>
    <col customWidth="1" min="10" max="10" width="25.38"/>
    <col customWidth="1" min="14" max="14" width="23.63"/>
    <col customWidth="1" min="16" max="16" width="14.25"/>
  </cols>
  <sheetData>
    <row r="1">
      <c r="A1" s="11">
        <v>45931.0</v>
      </c>
      <c r="B1" s="12" t="s">
        <v>13</v>
      </c>
      <c r="C1" s="13"/>
      <c r="D1" s="14"/>
      <c r="E1" s="15" t="s">
        <v>5</v>
      </c>
      <c r="F1" s="15" t="s">
        <v>14</v>
      </c>
      <c r="G1" s="12"/>
      <c r="H1" s="12"/>
      <c r="I1" s="12" t="s">
        <v>15</v>
      </c>
      <c r="J1" s="12" t="s">
        <v>16</v>
      </c>
    </row>
    <row r="2">
      <c r="A2" s="16">
        <f>A1</f>
        <v>45931</v>
      </c>
      <c r="B2" s="17">
        <f>WEEKNUM(A1)</f>
        <v>40</v>
      </c>
      <c r="C2" s="18">
        <f>A1-WEEKDAY(A1,2)+1</f>
        <v>45929</v>
      </c>
      <c r="D2" s="19">
        <f t="shared" ref="D2:D43" si="1">C2</f>
        <v>45929</v>
      </c>
      <c r="F2" s="20"/>
      <c r="N2" s="21"/>
    </row>
    <row r="3">
      <c r="A3" s="22"/>
      <c r="B3" s="23"/>
      <c r="C3" s="18">
        <f t="shared" ref="C3:C43" si="2">C2+1</f>
        <v>45930</v>
      </c>
      <c r="D3" s="24">
        <f t="shared" si="1"/>
        <v>45930</v>
      </c>
      <c r="N3" s="21"/>
    </row>
    <row r="4">
      <c r="A4" s="22"/>
      <c r="B4" s="23"/>
      <c r="C4" s="18">
        <f t="shared" si="2"/>
        <v>45931</v>
      </c>
      <c r="D4" s="24">
        <f t="shared" si="1"/>
        <v>45931</v>
      </c>
      <c r="F4" s="25"/>
      <c r="N4" s="21"/>
    </row>
    <row r="5">
      <c r="A5" s="22"/>
      <c r="B5" s="23"/>
      <c r="C5" s="18">
        <f t="shared" si="2"/>
        <v>45932</v>
      </c>
      <c r="D5" s="24">
        <f t="shared" si="1"/>
        <v>45932</v>
      </c>
      <c r="F5" s="25"/>
      <c r="M5" s="26"/>
      <c r="N5" s="21" t="s">
        <v>17</v>
      </c>
      <c r="Q5" s="27"/>
      <c r="R5" s="27">
        <v>1.0</v>
      </c>
    </row>
    <row r="6">
      <c r="A6" s="22"/>
      <c r="B6" s="23"/>
      <c r="C6" s="18">
        <f t="shared" si="2"/>
        <v>45933</v>
      </c>
      <c r="D6" s="24">
        <f t="shared" si="1"/>
        <v>45933</v>
      </c>
      <c r="F6" s="25"/>
      <c r="M6" s="28"/>
      <c r="N6" s="21" t="s">
        <v>18</v>
      </c>
      <c r="Q6" s="27"/>
      <c r="R6" s="27">
        <v>2.0</v>
      </c>
    </row>
    <row r="7">
      <c r="A7" s="22"/>
      <c r="B7" s="23"/>
      <c r="C7" s="18">
        <f t="shared" si="2"/>
        <v>45934</v>
      </c>
      <c r="D7" s="24">
        <f t="shared" si="1"/>
        <v>45934</v>
      </c>
      <c r="F7" s="21" t="s">
        <v>263</v>
      </c>
      <c r="Q7" s="29"/>
      <c r="R7" s="27">
        <v>3.0</v>
      </c>
    </row>
    <row r="8">
      <c r="A8" s="22"/>
      <c r="B8" s="30"/>
      <c r="C8" s="18">
        <f t="shared" si="2"/>
        <v>45935</v>
      </c>
      <c r="D8" s="24">
        <f t="shared" si="1"/>
        <v>45935</v>
      </c>
      <c r="E8" s="31"/>
      <c r="F8" s="31"/>
      <c r="G8" s="32"/>
      <c r="H8" s="32"/>
      <c r="I8" s="32"/>
      <c r="J8" s="31"/>
      <c r="M8" s="33"/>
      <c r="N8" s="21" t="s">
        <v>19</v>
      </c>
      <c r="Q8" s="29"/>
      <c r="R8" s="27">
        <v>4.0</v>
      </c>
    </row>
    <row r="9">
      <c r="A9" s="22"/>
      <c r="B9" s="34">
        <f>B2+1</f>
        <v>41</v>
      </c>
      <c r="C9" s="35">
        <f t="shared" si="2"/>
        <v>45936</v>
      </c>
      <c r="D9" s="36">
        <f t="shared" si="1"/>
        <v>45936</v>
      </c>
      <c r="E9" s="25"/>
      <c r="F9" s="20"/>
      <c r="G9" s="20"/>
      <c r="H9" s="20"/>
      <c r="I9" s="20"/>
      <c r="J9" s="20"/>
      <c r="M9" s="37"/>
      <c r="N9" s="21" t="s">
        <v>20</v>
      </c>
      <c r="Q9" s="29"/>
      <c r="R9" s="27">
        <v>5.0</v>
      </c>
    </row>
    <row r="10">
      <c r="A10" s="22"/>
      <c r="C10" s="18">
        <f t="shared" si="2"/>
        <v>45937</v>
      </c>
      <c r="D10" s="24">
        <f t="shared" si="1"/>
        <v>45937</v>
      </c>
      <c r="E10" s="25"/>
      <c r="Q10" s="29"/>
      <c r="R10" s="27">
        <v>6.0</v>
      </c>
    </row>
    <row r="11">
      <c r="A11" s="22"/>
      <c r="C11" s="18">
        <f t="shared" si="2"/>
        <v>45938</v>
      </c>
      <c r="D11" s="24">
        <f t="shared" si="1"/>
        <v>45938</v>
      </c>
      <c r="E11" s="25"/>
      <c r="Q11" s="29"/>
      <c r="R11" s="27">
        <v>7.0</v>
      </c>
    </row>
    <row r="12">
      <c r="A12" s="22"/>
      <c r="C12" s="18">
        <f t="shared" si="2"/>
        <v>45939</v>
      </c>
      <c r="D12" s="24">
        <f t="shared" si="1"/>
        <v>45939</v>
      </c>
      <c r="E12" s="25"/>
      <c r="K12" s="38"/>
    </row>
    <row r="13">
      <c r="A13" s="22"/>
      <c r="C13" s="18">
        <f t="shared" si="2"/>
        <v>45940</v>
      </c>
      <c r="D13" s="24">
        <f t="shared" si="1"/>
        <v>45940</v>
      </c>
      <c r="E13" s="25"/>
    </row>
    <row r="14">
      <c r="A14" s="22"/>
      <c r="C14" s="18">
        <f t="shared" si="2"/>
        <v>45941</v>
      </c>
      <c r="D14" s="24">
        <f t="shared" si="1"/>
        <v>45941</v>
      </c>
      <c r="E14" s="21" t="s">
        <v>263</v>
      </c>
    </row>
    <row r="15">
      <c r="A15" s="22"/>
      <c r="B15" s="39"/>
      <c r="C15" s="18">
        <f t="shared" si="2"/>
        <v>45942</v>
      </c>
      <c r="D15" s="24">
        <f t="shared" si="1"/>
        <v>45942</v>
      </c>
      <c r="E15" s="87"/>
      <c r="F15" s="26"/>
      <c r="G15" s="31"/>
      <c r="H15" s="31"/>
      <c r="I15" s="31"/>
      <c r="J15" s="31"/>
    </row>
    <row r="16">
      <c r="A16" s="22"/>
      <c r="B16" s="34">
        <f>B9+1</f>
        <v>42</v>
      </c>
      <c r="C16" s="35">
        <f t="shared" si="2"/>
        <v>45943</v>
      </c>
      <c r="D16" s="36">
        <f t="shared" si="1"/>
        <v>45943</v>
      </c>
      <c r="F16" s="20"/>
      <c r="I16" s="20"/>
      <c r="J16" s="20"/>
      <c r="N16" s="40"/>
      <c r="O16" s="41"/>
      <c r="P16" s="41"/>
      <c r="R16" s="41"/>
    </row>
    <row r="17">
      <c r="A17" s="22"/>
      <c r="C17" s="18">
        <f t="shared" si="2"/>
        <v>45944</v>
      </c>
      <c r="D17" s="24">
        <f t="shared" si="1"/>
        <v>45944</v>
      </c>
      <c r="F17" s="21" t="s">
        <v>238</v>
      </c>
      <c r="N17" s="40"/>
      <c r="O17" s="41"/>
      <c r="P17" s="41"/>
      <c r="R17" s="41"/>
    </row>
    <row r="18">
      <c r="A18" s="22"/>
      <c r="C18" s="18">
        <f t="shared" si="2"/>
        <v>45945</v>
      </c>
      <c r="D18" s="24">
        <f t="shared" si="1"/>
        <v>45945</v>
      </c>
      <c r="F18" s="25"/>
      <c r="N18" s="40"/>
      <c r="O18" s="41"/>
      <c r="P18" s="41"/>
      <c r="R18" s="41"/>
    </row>
    <row r="19">
      <c r="A19" s="22"/>
      <c r="C19" s="18">
        <f t="shared" si="2"/>
        <v>45946</v>
      </c>
      <c r="D19" s="24">
        <f t="shared" si="1"/>
        <v>45946</v>
      </c>
      <c r="F19" s="25"/>
      <c r="G19" s="21"/>
      <c r="N19" s="40"/>
      <c r="O19" s="41"/>
      <c r="P19" s="41"/>
      <c r="R19" s="41"/>
    </row>
    <row r="20">
      <c r="A20" s="22"/>
      <c r="C20" s="18">
        <f t="shared" si="2"/>
        <v>45947</v>
      </c>
      <c r="D20" s="24">
        <f t="shared" si="1"/>
        <v>45947</v>
      </c>
      <c r="F20" s="25"/>
      <c r="N20" s="40"/>
      <c r="O20" s="41"/>
      <c r="P20" s="41"/>
      <c r="R20" s="41"/>
    </row>
    <row r="21">
      <c r="A21" s="22"/>
      <c r="C21" s="18">
        <f t="shared" si="2"/>
        <v>45948</v>
      </c>
      <c r="D21" s="24">
        <f t="shared" si="1"/>
        <v>45948</v>
      </c>
      <c r="F21" s="21" t="s">
        <v>263</v>
      </c>
      <c r="N21" s="40"/>
      <c r="O21" s="41"/>
      <c r="P21" s="41"/>
      <c r="R21" s="41"/>
    </row>
    <row r="22">
      <c r="A22" s="22"/>
      <c r="B22" s="39"/>
      <c r="C22" s="18">
        <f t="shared" si="2"/>
        <v>45949</v>
      </c>
      <c r="D22" s="24">
        <f t="shared" si="1"/>
        <v>45949</v>
      </c>
      <c r="E22" s="31"/>
      <c r="F22" s="31"/>
      <c r="G22" s="31"/>
      <c r="H22" s="31"/>
      <c r="I22" s="32"/>
      <c r="J22" s="31"/>
      <c r="N22" s="40"/>
      <c r="O22" s="41"/>
      <c r="P22" s="41"/>
      <c r="R22" s="41"/>
    </row>
    <row r="23">
      <c r="A23" s="22"/>
      <c r="B23" s="34">
        <f>B16+1</f>
        <v>43</v>
      </c>
      <c r="C23" s="35">
        <f t="shared" si="2"/>
        <v>45950</v>
      </c>
      <c r="D23" s="36">
        <f t="shared" si="1"/>
        <v>45950</v>
      </c>
      <c r="E23" s="25"/>
      <c r="F23" s="20"/>
      <c r="G23" s="20"/>
      <c r="H23" s="20"/>
      <c r="J23" s="20"/>
      <c r="N23" s="40"/>
      <c r="O23" s="41"/>
      <c r="P23" s="41"/>
      <c r="R23" s="41"/>
    </row>
    <row r="24">
      <c r="A24" s="22"/>
      <c r="C24" s="18">
        <f t="shared" si="2"/>
        <v>45951</v>
      </c>
      <c r="D24" s="24">
        <f t="shared" si="1"/>
        <v>45951</v>
      </c>
      <c r="E24" s="25"/>
      <c r="N24" s="40"/>
      <c r="O24" s="41"/>
      <c r="P24" s="41"/>
      <c r="R24" s="41"/>
    </row>
    <row r="25">
      <c r="A25" s="22"/>
      <c r="C25" s="18">
        <f t="shared" si="2"/>
        <v>45952</v>
      </c>
      <c r="D25" s="24">
        <f t="shared" si="1"/>
        <v>45952</v>
      </c>
      <c r="E25" s="25"/>
      <c r="N25" s="40"/>
      <c r="O25" s="41"/>
      <c r="P25" s="41"/>
      <c r="R25" s="41"/>
    </row>
    <row r="26">
      <c r="A26" s="22"/>
      <c r="C26" s="18">
        <f t="shared" si="2"/>
        <v>45953</v>
      </c>
      <c r="D26" s="24">
        <f t="shared" si="1"/>
        <v>45953</v>
      </c>
      <c r="E26" s="25"/>
      <c r="N26" s="40"/>
      <c r="O26" s="41"/>
      <c r="P26" s="41"/>
      <c r="R26" s="41"/>
    </row>
    <row r="27">
      <c r="A27" s="22"/>
      <c r="C27" s="18">
        <f t="shared" si="2"/>
        <v>45954</v>
      </c>
      <c r="D27" s="24">
        <f t="shared" si="1"/>
        <v>45954</v>
      </c>
      <c r="E27" s="25"/>
      <c r="N27" s="40"/>
      <c r="O27" s="41"/>
      <c r="P27" s="41"/>
      <c r="R27" s="41"/>
    </row>
    <row r="28">
      <c r="A28" s="22"/>
      <c r="C28" s="18">
        <f t="shared" si="2"/>
        <v>45955</v>
      </c>
      <c r="D28" s="24">
        <f t="shared" si="1"/>
        <v>45955</v>
      </c>
      <c r="E28" s="21" t="s">
        <v>263</v>
      </c>
      <c r="N28" s="40"/>
      <c r="O28" s="41"/>
      <c r="P28" s="41"/>
      <c r="R28" s="41"/>
    </row>
    <row r="29">
      <c r="A29" s="22"/>
      <c r="B29" s="39"/>
      <c r="C29" s="18">
        <f t="shared" si="2"/>
        <v>45956</v>
      </c>
      <c r="D29" s="24">
        <f t="shared" si="1"/>
        <v>45956</v>
      </c>
      <c r="E29" s="31"/>
      <c r="F29" s="31"/>
      <c r="G29" s="31"/>
      <c r="H29" s="31"/>
      <c r="I29" s="32"/>
      <c r="J29" s="31"/>
      <c r="N29" s="40"/>
      <c r="O29" s="41"/>
      <c r="P29" s="41"/>
      <c r="R29" s="41"/>
    </row>
    <row r="30">
      <c r="A30" s="22"/>
      <c r="B30" s="34">
        <f>B23+1</f>
        <v>44</v>
      </c>
      <c r="C30" s="35">
        <f t="shared" si="2"/>
        <v>45957</v>
      </c>
      <c r="D30" s="36">
        <f t="shared" si="1"/>
        <v>45957</v>
      </c>
      <c r="F30" s="20"/>
      <c r="G30" s="20"/>
      <c r="J30" s="20"/>
      <c r="N30" s="40"/>
      <c r="O30" s="41"/>
      <c r="P30" s="41"/>
      <c r="R30" s="41"/>
    </row>
    <row r="31">
      <c r="A31" s="22"/>
      <c r="C31" s="18">
        <f t="shared" si="2"/>
        <v>45958</v>
      </c>
      <c r="D31" s="24">
        <f t="shared" si="1"/>
        <v>45958</v>
      </c>
      <c r="F31" s="25"/>
      <c r="N31" s="40"/>
      <c r="O31" s="41"/>
      <c r="P31" s="41"/>
      <c r="R31" s="41"/>
    </row>
    <row r="32">
      <c r="A32" s="22"/>
      <c r="C32" s="18">
        <f t="shared" si="2"/>
        <v>45959</v>
      </c>
      <c r="D32" s="24">
        <f t="shared" si="1"/>
        <v>45959</v>
      </c>
      <c r="F32" s="25"/>
      <c r="N32" s="40"/>
      <c r="O32" s="41"/>
      <c r="P32" s="41"/>
      <c r="R32" s="41"/>
    </row>
    <row r="33">
      <c r="A33" s="22"/>
      <c r="C33" s="18">
        <f t="shared" si="2"/>
        <v>45960</v>
      </c>
      <c r="D33" s="24">
        <f t="shared" si="1"/>
        <v>45960</v>
      </c>
      <c r="F33" s="21" t="s">
        <v>266</v>
      </c>
      <c r="N33" s="40"/>
      <c r="O33" s="41"/>
      <c r="P33" s="41"/>
      <c r="R33" s="41"/>
    </row>
    <row r="34">
      <c r="A34" s="22"/>
      <c r="C34" s="18">
        <f t="shared" si="2"/>
        <v>45961</v>
      </c>
      <c r="D34" s="24">
        <f t="shared" si="1"/>
        <v>45961</v>
      </c>
      <c r="F34" s="21" t="s">
        <v>267</v>
      </c>
      <c r="N34" s="40"/>
      <c r="O34" s="41"/>
      <c r="P34" s="41"/>
      <c r="R34" s="41"/>
    </row>
    <row r="35">
      <c r="A35" s="22"/>
      <c r="C35" s="18">
        <f t="shared" si="2"/>
        <v>45962</v>
      </c>
      <c r="D35" s="24">
        <f t="shared" si="1"/>
        <v>45962</v>
      </c>
      <c r="N35" s="40"/>
      <c r="O35" s="41"/>
      <c r="P35" s="41"/>
      <c r="R35" s="41"/>
    </row>
    <row r="36">
      <c r="A36" s="22"/>
      <c r="B36" s="39"/>
      <c r="C36" s="18">
        <f t="shared" si="2"/>
        <v>45963</v>
      </c>
      <c r="D36" s="24">
        <f t="shared" si="1"/>
        <v>45963</v>
      </c>
      <c r="E36" s="31"/>
      <c r="F36" s="31"/>
      <c r="N36" s="40"/>
      <c r="O36" s="41"/>
      <c r="P36" s="41"/>
      <c r="R36" s="41"/>
    </row>
    <row r="37">
      <c r="A37" s="22"/>
      <c r="B37" s="34">
        <f>B30+1</f>
        <v>45</v>
      </c>
      <c r="C37" s="35">
        <f t="shared" si="2"/>
        <v>45964</v>
      </c>
      <c r="D37" s="36">
        <f t="shared" si="1"/>
        <v>45964</v>
      </c>
      <c r="F37" s="20"/>
      <c r="G37" s="20"/>
      <c r="H37" s="20"/>
      <c r="I37" s="20"/>
      <c r="J37" s="20"/>
    </row>
    <row r="38">
      <c r="A38" s="22"/>
      <c r="C38" s="18">
        <f t="shared" si="2"/>
        <v>45965</v>
      </c>
      <c r="D38" s="24">
        <f t="shared" si="1"/>
        <v>45965</v>
      </c>
    </row>
    <row r="39">
      <c r="A39" s="22"/>
      <c r="C39" s="18">
        <f t="shared" si="2"/>
        <v>45966</v>
      </c>
      <c r="D39" s="24">
        <f t="shared" si="1"/>
        <v>45966</v>
      </c>
    </row>
    <row r="40">
      <c r="A40" s="22"/>
      <c r="C40" s="18">
        <f t="shared" si="2"/>
        <v>45967</v>
      </c>
      <c r="D40" s="24">
        <f t="shared" si="1"/>
        <v>45967</v>
      </c>
    </row>
    <row r="41">
      <c r="A41" s="22"/>
      <c r="C41" s="18">
        <f t="shared" si="2"/>
        <v>45968</v>
      </c>
      <c r="D41" s="24">
        <f t="shared" si="1"/>
        <v>45968</v>
      </c>
    </row>
    <row r="42">
      <c r="A42" s="22"/>
      <c r="C42" s="18">
        <f t="shared" si="2"/>
        <v>45969</v>
      </c>
      <c r="D42" s="24">
        <f t="shared" si="1"/>
        <v>45969</v>
      </c>
    </row>
    <row r="43">
      <c r="A43" s="22"/>
      <c r="B43" s="39"/>
      <c r="C43" s="42">
        <f t="shared" si="2"/>
        <v>45970</v>
      </c>
      <c r="D43" s="43">
        <f t="shared" si="1"/>
        <v>45970</v>
      </c>
      <c r="E43" s="31"/>
      <c r="F43" s="31"/>
      <c r="G43" s="31"/>
      <c r="H43" s="31"/>
      <c r="I43" s="31"/>
      <c r="J43" s="31"/>
    </row>
  </sheetData>
  <autoFilter ref="$C$1:$C$1003">
    <sortState ref="C1:C1003">
      <sortCondition descending="1" sortBy="cellColor" ref="C1:C1003" dxfId="1"/>
    </sortState>
  </autoFilter>
  <mergeCells count="7">
    <mergeCell ref="A2:A43"/>
    <mergeCell ref="B2:B8"/>
    <mergeCell ref="B9:B15"/>
    <mergeCell ref="B16:B22"/>
    <mergeCell ref="B23:B29"/>
    <mergeCell ref="B30:B36"/>
    <mergeCell ref="B37:B43"/>
  </mergeCells>
  <conditionalFormatting sqref="F17">
    <cfRule type="expression" dxfId="3" priority="1">
      <formula>AND(MONTH($A$1)=MONTH(C24),OR(AND(MOD(WEEKNUM(C24,2),2),ISERROR(MATCH(WEEKDAY(C24,2),$Q$5:$Q$11,0))),AND(MOD(WEEKNUM(C24,2),2)=0,ISERROR(MATCH(WEEKDAY(C24,2),$R$5:$R$11,0)))))</formula>
    </cfRule>
  </conditionalFormatting>
  <conditionalFormatting sqref="C2:C43">
    <cfRule type="timePeriod" dxfId="2" priority="4" timePeriod="today"/>
  </conditionalFormatting>
  <conditionalFormatting sqref="E2:E14 F7 E16:E43 F21">
    <cfRule type="expression" dxfId="3" priority="5">
      <formula>AND(MONTH($A$1)=MONTH(C2),OR(AND(MOD(WEEKNUM(C2,2),2),ISERROR(MATCH(WEEKDAY(C2,2),$Q$5:$Q$11,0))),AND(MOD(WEEKNUM(C2,2),2)=0,ISERROR(MATCH(WEEKDAY(C2,2),$R$5:$R$11,0)))))</formula>
    </cfRule>
  </conditionalFormatting>
  <conditionalFormatting sqref="F2:F14 E14 F16 F18:F43 E28">
    <cfRule type="expression" dxfId="3" priority="6">
      <formula>AND(MONTH($A$1)=MONTH(C2),OR(AND(MOD(WEEKNUM(C2,2),2),NOT(ISERROR(MATCH(WEEKDAY(C2,2),$Q$5:$Q$11,0)))),AND(MOD(WEEKNUM(C2,2),2)=0,NOT(ISERROR(MATCH(WEEKDAY(C2,2),$R$5:$R$11,0))))))</formula>
    </cfRule>
  </conditionalFormatting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5"/>
    <col customWidth="1" min="3" max="3" width="2.88"/>
    <col customWidth="1" min="4" max="4" width="7.5"/>
    <col customWidth="1" min="5" max="5" width="22.25"/>
    <col customWidth="1" min="6" max="6" width="33.38"/>
    <col customWidth="1" min="7" max="8" width="13.38"/>
    <col customWidth="1" min="9" max="9" width="22.63"/>
    <col customWidth="1" min="10" max="10" width="25.38"/>
    <col customWidth="1" min="14" max="14" width="23.63"/>
    <col customWidth="1" min="16" max="16" width="14.25"/>
  </cols>
  <sheetData>
    <row r="1">
      <c r="A1" s="11">
        <v>45962.0</v>
      </c>
      <c r="B1" s="12" t="s">
        <v>13</v>
      </c>
      <c r="C1" s="13"/>
      <c r="D1" s="14"/>
      <c r="E1" s="15" t="s">
        <v>5</v>
      </c>
      <c r="F1" s="15" t="s">
        <v>14</v>
      </c>
      <c r="G1" s="12"/>
      <c r="H1" s="12"/>
      <c r="I1" s="12" t="s">
        <v>15</v>
      </c>
      <c r="J1" s="12" t="s">
        <v>16</v>
      </c>
    </row>
    <row r="2">
      <c r="A2" s="16">
        <f>A1</f>
        <v>45962</v>
      </c>
      <c r="B2" s="17">
        <f>WEEKNUM(A1)</f>
        <v>44</v>
      </c>
      <c r="C2" s="18">
        <f>A1-WEEKDAY(A1,2)+1</f>
        <v>45957</v>
      </c>
      <c r="D2" s="19">
        <f t="shared" ref="D2:D43" si="1">C2</f>
        <v>45957</v>
      </c>
      <c r="F2" s="20"/>
      <c r="N2" s="21"/>
    </row>
    <row r="3">
      <c r="A3" s="22"/>
      <c r="B3" s="23"/>
      <c r="C3" s="18">
        <f t="shared" ref="C3:C43" si="2">C2+1</f>
        <v>45958</v>
      </c>
      <c r="D3" s="24">
        <f t="shared" si="1"/>
        <v>45958</v>
      </c>
      <c r="N3" s="21"/>
    </row>
    <row r="4">
      <c r="A4" s="22"/>
      <c r="B4" s="23"/>
      <c r="C4" s="18">
        <f t="shared" si="2"/>
        <v>45959</v>
      </c>
      <c r="D4" s="24">
        <f t="shared" si="1"/>
        <v>45959</v>
      </c>
      <c r="N4" s="21"/>
    </row>
    <row r="5">
      <c r="A5" s="22"/>
      <c r="B5" s="23"/>
      <c r="C5" s="18">
        <f t="shared" si="2"/>
        <v>45960</v>
      </c>
      <c r="D5" s="24">
        <f t="shared" si="1"/>
        <v>45960</v>
      </c>
      <c r="M5" s="26"/>
      <c r="N5" s="21" t="s">
        <v>17</v>
      </c>
      <c r="Q5" s="27"/>
      <c r="R5" s="27">
        <v>1.0</v>
      </c>
    </row>
    <row r="6">
      <c r="A6" s="22"/>
      <c r="B6" s="23"/>
      <c r="C6" s="18">
        <f t="shared" si="2"/>
        <v>45961</v>
      </c>
      <c r="D6" s="24">
        <f t="shared" si="1"/>
        <v>45961</v>
      </c>
      <c r="M6" s="28"/>
      <c r="N6" s="21" t="s">
        <v>18</v>
      </c>
      <c r="Q6" s="27"/>
      <c r="R6" s="27">
        <v>2.0</v>
      </c>
    </row>
    <row r="7">
      <c r="A7" s="22"/>
      <c r="B7" s="23"/>
      <c r="C7" s="18">
        <f t="shared" si="2"/>
        <v>45962</v>
      </c>
      <c r="D7" s="24">
        <f t="shared" si="1"/>
        <v>45962</v>
      </c>
      <c r="F7" s="21" t="s">
        <v>263</v>
      </c>
      <c r="Q7" s="29"/>
      <c r="R7" s="27">
        <v>3.0</v>
      </c>
    </row>
    <row r="8">
      <c r="A8" s="22"/>
      <c r="B8" s="30"/>
      <c r="C8" s="18">
        <f t="shared" si="2"/>
        <v>45963</v>
      </c>
      <c r="D8" s="24">
        <f t="shared" si="1"/>
        <v>45963</v>
      </c>
      <c r="E8" s="31"/>
      <c r="F8" s="31"/>
      <c r="G8" s="32"/>
      <c r="H8" s="32"/>
      <c r="I8" s="32"/>
      <c r="J8" s="31"/>
      <c r="M8" s="33"/>
      <c r="N8" s="21" t="s">
        <v>19</v>
      </c>
      <c r="Q8" s="29"/>
      <c r="R8" s="27">
        <v>4.0</v>
      </c>
    </row>
    <row r="9">
      <c r="A9" s="22"/>
      <c r="B9" s="34">
        <f>B2+1</f>
        <v>45</v>
      </c>
      <c r="C9" s="35">
        <f t="shared" si="2"/>
        <v>45964</v>
      </c>
      <c r="D9" s="36">
        <f t="shared" si="1"/>
        <v>45964</v>
      </c>
      <c r="E9" s="25"/>
      <c r="F9" s="20"/>
      <c r="G9" s="20"/>
      <c r="H9" s="20"/>
      <c r="I9" s="20"/>
      <c r="J9" s="20"/>
      <c r="M9" s="37"/>
      <c r="N9" s="21" t="s">
        <v>20</v>
      </c>
      <c r="Q9" s="29"/>
      <c r="R9" s="27">
        <v>5.0</v>
      </c>
    </row>
    <row r="10">
      <c r="A10" s="22"/>
      <c r="C10" s="18">
        <f t="shared" si="2"/>
        <v>45965</v>
      </c>
      <c r="D10" s="24">
        <f t="shared" si="1"/>
        <v>45965</v>
      </c>
      <c r="E10" s="25"/>
      <c r="Q10" s="29"/>
      <c r="R10" s="27">
        <v>6.0</v>
      </c>
    </row>
    <row r="11">
      <c r="A11" s="22"/>
      <c r="C11" s="18">
        <f t="shared" si="2"/>
        <v>45966</v>
      </c>
      <c r="D11" s="24">
        <f t="shared" si="1"/>
        <v>45966</v>
      </c>
      <c r="E11" s="25"/>
      <c r="Q11" s="29"/>
      <c r="R11" s="27">
        <v>7.0</v>
      </c>
    </row>
    <row r="12">
      <c r="A12" s="22"/>
      <c r="C12" s="18">
        <f t="shared" si="2"/>
        <v>45967</v>
      </c>
      <c r="D12" s="24">
        <f t="shared" si="1"/>
        <v>45967</v>
      </c>
      <c r="E12" s="25"/>
      <c r="K12" s="38"/>
    </row>
    <row r="13">
      <c r="A13" s="22"/>
      <c r="C13" s="18">
        <f t="shared" si="2"/>
        <v>45968</v>
      </c>
      <c r="D13" s="24">
        <f t="shared" si="1"/>
        <v>45968</v>
      </c>
      <c r="E13" s="25"/>
    </row>
    <row r="14">
      <c r="A14" s="22"/>
      <c r="C14" s="18">
        <f t="shared" si="2"/>
        <v>45969</v>
      </c>
      <c r="D14" s="24">
        <f t="shared" si="1"/>
        <v>45969</v>
      </c>
      <c r="E14" s="21" t="s">
        <v>263</v>
      </c>
    </row>
    <row r="15">
      <c r="A15" s="22"/>
      <c r="B15" s="39"/>
      <c r="C15" s="18">
        <f t="shared" si="2"/>
        <v>45970</v>
      </c>
      <c r="D15" s="24">
        <f t="shared" si="1"/>
        <v>45970</v>
      </c>
      <c r="E15" s="32" t="s">
        <v>268</v>
      </c>
      <c r="F15" s="31"/>
      <c r="G15" s="31"/>
      <c r="H15" s="31"/>
      <c r="I15" s="31"/>
      <c r="J15" s="31"/>
    </row>
    <row r="16">
      <c r="A16" s="22"/>
      <c r="B16" s="34">
        <f>B9+1</f>
        <v>46</v>
      </c>
      <c r="C16" s="35">
        <f t="shared" si="2"/>
        <v>45971</v>
      </c>
      <c r="D16" s="36">
        <f t="shared" si="1"/>
        <v>45971</v>
      </c>
      <c r="F16" s="20"/>
      <c r="I16" s="20"/>
      <c r="J16" s="20"/>
      <c r="N16" s="40"/>
      <c r="O16" s="41"/>
      <c r="P16" s="41"/>
      <c r="R16" s="41"/>
    </row>
    <row r="17">
      <c r="A17" s="22"/>
      <c r="C17" s="18">
        <f t="shared" si="2"/>
        <v>45972</v>
      </c>
      <c r="D17" s="24">
        <f t="shared" si="1"/>
        <v>45972</v>
      </c>
      <c r="F17" s="25"/>
      <c r="N17" s="40"/>
      <c r="O17" s="41"/>
      <c r="P17" s="41"/>
      <c r="R17" s="41"/>
    </row>
    <row r="18">
      <c r="A18" s="22"/>
      <c r="C18" s="18">
        <f t="shared" si="2"/>
        <v>45973</v>
      </c>
      <c r="D18" s="24">
        <f t="shared" si="1"/>
        <v>45973</v>
      </c>
      <c r="F18" s="25"/>
      <c r="N18" s="40"/>
      <c r="O18" s="41"/>
      <c r="P18" s="41"/>
      <c r="R18" s="41"/>
    </row>
    <row r="19">
      <c r="A19" s="22"/>
      <c r="C19" s="18">
        <f t="shared" si="2"/>
        <v>45974</v>
      </c>
      <c r="D19" s="24">
        <f t="shared" si="1"/>
        <v>45974</v>
      </c>
      <c r="F19" s="25"/>
      <c r="G19" s="21"/>
      <c r="N19" s="40"/>
      <c r="O19" s="41"/>
      <c r="P19" s="41"/>
      <c r="R19" s="41"/>
    </row>
    <row r="20">
      <c r="A20" s="22"/>
      <c r="C20" s="18">
        <f t="shared" si="2"/>
        <v>45975</v>
      </c>
      <c r="D20" s="24">
        <f t="shared" si="1"/>
        <v>45975</v>
      </c>
      <c r="F20" s="25"/>
      <c r="N20" s="40"/>
      <c r="O20" s="41"/>
      <c r="P20" s="41"/>
      <c r="R20" s="41"/>
    </row>
    <row r="21">
      <c r="A21" s="22"/>
      <c r="C21" s="18">
        <f t="shared" si="2"/>
        <v>45976</v>
      </c>
      <c r="D21" s="24">
        <f t="shared" si="1"/>
        <v>45976</v>
      </c>
      <c r="F21" s="21" t="s">
        <v>263</v>
      </c>
      <c r="N21" s="40"/>
      <c r="O21" s="41"/>
      <c r="P21" s="41"/>
      <c r="R21" s="41"/>
    </row>
    <row r="22">
      <c r="A22" s="22"/>
      <c r="B22" s="39"/>
      <c r="C22" s="18">
        <f t="shared" si="2"/>
        <v>45977</v>
      </c>
      <c r="D22" s="24">
        <f t="shared" si="1"/>
        <v>45977</v>
      </c>
      <c r="E22" s="31"/>
      <c r="F22" s="31"/>
      <c r="G22" s="31"/>
      <c r="H22" s="31"/>
      <c r="I22" s="32"/>
      <c r="J22" s="31"/>
      <c r="N22" s="40"/>
      <c r="O22" s="41"/>
      <c r="P22" s="41"/>
      <c r="R22" s="41"/>
    </row>
    <row r="23">
      <c r="A23" s="22"/>
      <c r="B23" s="34">
        <f>B16+1</f>
        <v>47</v>
      </c>
      <c r="C23" s="35">
        <f t="shared" si="2"/>
        <v>45978</v>
      </c>
      <c r="D23" s="36">
        <f t="shared" si="1"/>
        <v>45978</v>
      </c>
      <c r="E23" s="25"/>
      <c r="F23" s="20"/>
      <c r="G23" s="20"/>
      <c r="H23" s="20"/>
      <c r="J23" s="20"/>
      <c r="N23" s="40"/>
      <c r="O23" s="41"/>
      <c r="P23" s="41"/>
      <c r="R23" s="41"/>
    </row>
    <row r="24">
      <c r="A24" s="22"/>
      <c r="C24" s="18">
        <f t="shared" si="2"/>
        <v>45979</v>
      </c>
      <c r="D24" s="24">
        <f t="shared" si="1"/>
        <v>45979</v>
      </c>
      <c r="E24" s="25"/>
      <c r="N24" s="40"/>
      <c r="O24" s="41"/>
      <c r="P24" s="41"/>
      <c r="R24" s="41"/>
    </row>
    <row r="25">
      <c r="A25" s="22"/>
      <c r="C25" s="18">
        <f t="shared" si="2"/>
        <v>45980</v>
      </c>
      <c r="D25" s="24">
        <f t="shared" si="1"/>
        <v>45980</v>
      </c>
      <c r="E25" s="25"/>
      <c r="N25" s="40"/>
      <c r="O25" s="41"/>
      <c r="P25" s="41"/>
      <c r="R25" s="41"/>
    </row>
    <row r="26">
      <c r="A26" s="22"/>
      <c r="C26" s="18">
        <f t="shared" si="2"/>
        <v>45981</v>
      </c>
      <c r="D26" s="24">
        <f t="shared" si="1"/>
        <v>45981</v>
      </c>
      <c r="E26" s="25"/>
      <c r="N26" s="40"/>
      <c r="O26" s="41"/>
      <c r="P26" s="41"/>
      <c r="R26" s="41"/>
    </row>
    <row r="27">
      <c r="A27" s="22"/>
      <c r="C27" s="18">
        <f t="shared" si="2"/>
        <v>45982</v>
      </c>
      <c r="D27" s="24">
        <f t="shared" si="1"/>
        <v>45982</v>
      </c>
      <c r="E27" s="25"/>
      <c r="N27" s="40"/>
      <c r="O27" s="41"/>
      <c r="P27" s="41"/>
      <c r="R27" s="41"/>
    </row>
    <row r="28">
      <c r="A28" s="22"/>
      <c r="C28" s="18">
        <f t="shared" si="2"/>
        <v>45983</v>
      </c>
      <c r="D28" s="24">
        <f t="shared" si="1"/>
        <v>45983</v>
      </c>
      <c r="E28" s="21" t="s">
        <v>263</v>
      </c>
      <c r="N28" s="40"/>
      <c r="O28" s="41"/>
      <c r="P28" s="41"/>
      <c r="R28" s="41"/>
    </row>
    <row r="29">
      <c r="A29" s="22"/>
      <c r="B29" s="39"/>
      <c r="C29" s="18">
        <f t="shared" si="2"/>
        <v>45984</v>
      </c>
      <c r="D29" s="24">
        <f t="shared" si="1"/>
        <v>45984</v>
      </c>
      <c r="E29" s="31"/>
      <c r="F29" s="31"/>
      <c r="G29" s="31"/>
      <c r="H29" s="31"/>
      <c r="I29" s="32"/>
      <c r="J29" s="31"/>
      <c r="N29" s="40"/>
      <c r="O29" s="41"/>
      <c r="P29" s="41"/>
      <c r="R29" s="41"/>
    </row>
    <row r="30">
      <c r="A30" s="22"/>
      <c r="B30" s="34">
        <f>B23+1</f>
        <v>48</v>
      </c>
      <c r="C30" s="35">
        <f t="shared" si="2"/>
        <v>45985</v>
      </c>
      <c r="D30" s="36">
        <f t="shared" si="1"/>
        <v>45985</v>
      </c>
      <c r="F30" s="20"/>
      <c r="G30" s="20"/>
      <c r="J30" s="20"/>
      <c r="N30" s="40"/>
      <c r="O30" s="41"/>
      <c r="P30" s="41"/>
      <c r="R30" s="41"/>
    </row>
    <row r="31">
      <c r="A31" s="22"/>
      <c r="C31" s="18">
        <f t="shared" si="2"/>
        <v>45986</v>
      </c>
      <c r="D31" s="24">
        <f t="shared" si="1"/>
        <v>45986</v>
      </c>
      <c r="F31" s="25"/>
      <c r="N31" s="40"/>
      <c r="O31" s="41"/>
      <c r="P31" s="41"/>
      <c r="R31" s="41"/>
    </row>
    <row r="32">
      <c r="A32" s="22"/>
      <c r="C32" s="18">
        <f t="shared" si="2"/>
        <v>45987</v>
      </c>
      <c r="D32" s="24">
        <f t="shared" si="1"/>
        <v>45987</v>
      </c>
      <c r="F32" s="25"/>
      <c r="N32" s="40"/>
      <c r="O32" s="41"/>
      <c r="P32" s="41"/>
      <c r="R32" s="41"/>
    </row>
    <row r="33">
      <c r="A33" s="22"/>
      <c r="C33" s="18">
        <f t="shared" si="2"/>
        <v>45988</v>
      </c>
      <c r="D33" s="24">
        <f t="shared" si="1"/>
        <v>45988</v>
      </c>
      <c r="F33" s="25"/>
      <c r="N33" s="40"/>
      <c r="O33" s="41"/>
      <c r="P33" s="41"/>
      <c r="R33" s="41"/>
    </row>
    <row r="34">
      <c r="A34" s="22"/>
      <c r="C34" s="18">
        <f t="shared" si="2"/>
        <v>45989</v>
      </c>
      <c r="D34" s="24">
        <f t="shared" si="1"/>
        <v>45989</v>
      </c>
      <c r="F34" s="25"/>
      <c r="N34" s="40"/>
      <c r="O34" s="41"/>
      <c r="P34" s="41"/>
      <c r="R34" s="41"/>
    </row>
    <row r="35">
      <c r="A35" s="22"/>
      <c r="C35" s="18">
        <f t="shared" si="2"/>
        <v>45990</v>
      </c>
      <c r="D35" s="24">
        <f t="shared" si="1"/>
        <v>45990</v>
      </c>
      <c r="F35" s="21" t="s">
        <v>269</v>
      </c>
      <c r="N35" s="40"/>
      <c r="O35" s="41"/>
      <c r="P35" s="41"/>
      <c r="R35" s="41"/>
    </row>
    <row r="36">
      <c r="A36" s="22"/>
      <c r="B36" s="39"/>
      <c r="C36" s="18">
        <f t="shared" si="2"/>
        <v>45991</v>
      </c>
      <c r="D36" s="24">
        <f t="shared" si="1"/>
        <v>45991</v>
      </c>
      <c r="E36" s="31"/>
      <c r="F36" s="31"/>
      <c r="N36" s="40"/>
      <c r="O36" s="41"/>
      <c r="P36" s="41"/>
      <c r="R36" s="41"/>
    </row>
    <row r="37">
      <c r="A37" s="22"/>
      <c r="B37" s="34">
        <f>B30+1</f>
        <v>49</v>
      </c>
      <c r="C37" s="35">
        <f t="shared" si="2"/>
        <v>45992</v>
      </c>
      <c r="D37" s="36">
        <f t="shared" si="1"/>
        <v>45992</v>
      </c>
      <c r="F37" s="20"/>
      <c r="G37" s="20"/>
      <c r="H37" s="20"/>
      <c r="I37" s="20"/>
      <c r="J37" s="20"/>
    </row>
    <row r="38">
      <c r="A38" s="22"/>
      <c r="C38" s="18">
        <f t="shared" si="2"/>
        <v>45993</v>
      </c>
      <c r="D38" s="24">
        <f t="shared" si="1"/>
        <v>45993</v>
      </c>
    </row>
    <row r="39">
      <c r="A39" s="22"/>
      <c r="C39" s="18">
        <f t="shared" si="2"/>
        <v>45994</v>
      </c>
      <c r="D39" s="24">
        <f t="shared" si="1"/>
        <v>45994</v>
      </c>
    </row>
    <row r="40">
      <c r="A40" s="22"/>
      <c r="C40" s="18">
        <f t="shared" si="2"/>
        <v>45995</v>
      </c>
      <c r="D40" s="24">
        <f t="shared" si="1"/>
        <v>45995</v>
      </c>
    </row>
    <row r="41">
      <c r="A41" s="22"/>
      <c r="C41" s="18">
        <f t="shared" si="2"/>
        <v>45996</v>
      </c>
      <c r="D41" s="24">
        <f t="shared" si="1"/>
        <v>45996</v>
      </c>
    </row>
    <row r="42">
      <c r="A42" s="22"/>
      <c r="C42" s="18">
        <f t="shared" si="2"/>
        <v>45997</v>
      </c>
      <c r="D42" s="24">
        <f t="shared" si="1"/>
        <v>45997</v>
      </c>
    </row>
    <row r="43">
      <c r="A43" s="22"/>
      <c r="B43" s="39"/>
      <c r="C43" s="42">
        <f t="shared" si="2"/>
        <v>45998</v>
      </c>
      <c r="D43" s="43">
        <f t="shared" si="1"/>
        <v>45998</v>
      </c>
      <c r="E43" s="31"/>
      <c r="F43" s="31"/>
      <c r="G43" s="31"/>
      <c r="H43" s="31"/>
      <c r="I43" s="31"/>
      <c r="J43" s="31"/>
    </row>
  </sheetData>
  <autoFilter ref="$C$1:$C$1003">
    <sortState ref="C1:C1003">
      <sortCondition descending="1" sortBy="cellColor" ref="C1:C1003" dxfId="1"/>
    </sortState>
  </autoFilter>
  <mergeCells count="7">
    <mergeCell ref="A2:A43"/>
    <mergeCell ref="B2:B8"/>
    <mergeCell ref="B9:B15"/>
    <mergeCell ref="B16:B22"/>
    <mergeCell ref="B23:B29"/>
    <mergeCell ref="B30:B36"/>
    <mergeCell ref="B37:B43"/>
  </mergeCells>
  <conditionalFormatting sqref="C2:C43">
    <cfRule type="timePeriod" dxfId="2" priority="3" timePeriod="today"/>
  </conditionalFormatting>
  <conditionalFormatting sqref="E2:E43 F7 F21 F35">
    <cfRule type="expression" dxfId="3" priority="4">
      <formula>AND(MONTH($A$1)=MONTH(C2),OR(AND(MOD(WEEKNUM(C2,2),2),ISERROR(MATCH(WEEKDAY(C2,2),$Q$5:$Q$11,0))),AND(MOD(WEEKNUM(C2,2),2)=0,ISERROR(MATCH(WEEKDAY(C2,2),$R$5:$R$11,0)))))</formula>
    </cfRule>
  </conditionalFormatting>
  <conditionalFormatting sqref="F2:F43 E14 E28">
    <cfRule type="expression" dxfId="3" priority="5">
      <formula>AND(MONTH($A$1)=MONTH(C2),OR(AND(MOD(WEEKNUM(C2,2),2),NOT(ISERROR(MATCH(WEEKDAY(C2,2),$Q$5:$Q$11,0)))),AND(MOD(WEEKNUM(C2,2),2)=0,NOT(ISERROR(MATCH(WEEKDAY(C2,2),$R$5:$R$11,0))))))</formula>
    </cfRule>
  </conditionalFormatting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5"/>
    <col customWidth="1" min="3" max="3" width="2.88"/>
    <col customWidth="1" min="4" max="4" width="7.5"/>
    <col customWidth="1" min="5" max="6" width="18.38"/>
    <col customWidth="1" min="7" max="8" width="13.38"/>
    <col customWidth="1" min="9" max="9" width="22.63"/>
    <col customWidth="1" min="10" max="10" width="25.38"/>
    <col customWidth="1" min="14" max="14" width="23.63"/>
    <col customWidth="1" min="16" max="16" width="14.25"/>
  </cols>
  <sheetData>
    <row r="1">
      <c r="A1" s="11">
        <v>45992.0</v>
      </c>
      <c r="B1" s="12" t="s">
        <v>13</v>
      </c>
      <c r="C1" s="13"/>
      <c r="D1" s="14"/>
      <c r="E1" s="15" t="s">
        <v>5</v>
      </c>
      <c r="F1" s="15" t="s">
        <v>14</v>
      </c>
      <c r="G1" s="12"/>
      <c r="H1" s="12"/>
      <c r="I1" s="12" t="s">
        <v>15</v>
      </c>
      <c r="J1" s="12" t="s">
        <v>16</v>
      </c>
    </row>
    <row r="2">
      <c r="A2" s="16">
        <f>A1</f>
        <v>45992</v>
      </c>
      <c r="B2" s="17">
        <f>WEEKNUM(A1)</f>
        <v>49</v>
      </c>
      <c r="C2" s="18">
        <f>A1-WEEKDAY(A1,2)+1</f>
        <v>45992</v>
      </c>
      <c r="D2" s="19">
        <f t="shared" ref="D2:D43" si="1">C2</f>
        <v>45992</v>
      </c>
      <c r="E2" s="25"/>
      <c r="F2" s="20"/>
      <c r="N2" s="21"/>
    </row>
    <row r="3">
      <c r="A3" s="22"/>
      <c r="B3" s="23"/>
      <c r="C3" s="18">
        <f t="shared" ref="C3:C43" si="2">C2+1</f>
        <v>45993</v>
      </c>
      <c r="D3" s="24">
        <f t="shared" si="1"/>
        <v>45993</v>
      </c>
      <c r="E3" s="25"/>
      <c r="N3" s="21"/>
    </row>
    <row r="4">
      <c r="A4" s="22"/>
      <c r="B4" s="23"/>
      <c r="C4" s="18">
        <f t="shared" si="2"/>
        <v>45994</v>
      </c>
      <c r="D4" s="24">
        <f t="shared" si="1"/>
        <v>45994</v>
      </c>
      <c r="E4" s="25"/>
      <c r="N4" s="21"/>
    </row>
    <row r="5">
      <c r="A5" s="22"/>
      <c r="B5" s="23"/>
      <c r="C5" s="18">
        <f t="shared" si="2"/>
        <v>45995</v>
      </c>
      <c r="D5" s="24">
        <f t="shared" si="1"/>
        <v>45995</v>
      </c>
      <c r="E5" s="25"/>
      <c r="M5" s="26"/>
      <c r="N5" s="21" t="s">
        <v>17</v>
      </c>
      <c r="Q5" s="27"/>
      <c r="R5" s="27">
        <v>1.0</v>
      </c>
    </row>
    <row r="6">
      <c r="A6" s="22"/>
      <c r="B6" s="23"/>
      <c r="C6" s="18">
        <f t="shared" si="2"/>
        <v>45996</v>
      </c>
      <c r="D6" s="24">
        <f t="shared" si="1"/>
        <v>45996</v>
      </c>
      <c r="E6" s="25"/>
      <c r="M6" s="28"/>
      <c r="N6" s="21" t="s">
        <v>18</v>
      </c>
      <c r="Q6" s="27"/>
      <c r="R6" s="27">
        <v>2.0</v>
      </c>
    </row>
    <row r="7">
      <c r="A7" s="22"/>
      <c r="B7" s="23"/>
      <c r="C7" s="18">
        <f t="shared" si="2"/>
        <v>45997</v>
      </c>
      <c r="D7" s="24">
        <f t="shared" si="1"/>
        <v>45997</v>
      </c>
      <c r="E7" s="25"/>
      <c r="Q7" s="29"/>
      <c r="R7" s="27">
        <v>3.0</v>
      </c>
    </row>
    <row r="8">
      <c r="A8" s="22"/>
      <c r="B8" s="30"/>
      <c r="C8" s="18">
        <f t="shared" si="2"/>
        <v>45998</v>
      </c>
      <c r="D8" s="24">
        <f t="shared" si="1"/>
        <v>45998</v>
      </c>
      <c r="E8" s="31"/>
      <c r="F8" s="31"/>
      <c r="G8" s="32"/>
      <c r="H8" s="32"/>
      <c r="I8" s="32"/>
      <c r="J8" s="31"/>
      <c r="M8" s="33"/>
      <c r="N8" s="21" t="s">
        <v>19</v>
      </c>
      <c r="Q8" s="29"/>
      <c r="R8" s="27">
        <v>4.0</v>
      </c>
    </row>
    <row r="9">
      <c r="A9" s="22"/>
      <c r="B9" s="34">
        <f>B2+1</f>
        <v>50</v>
      </c>
      <c r="C9" s="35">
        <f t="shared" si="2"/>
        <v>45999</v>
      </c>
      <c r="D9" s="36">
        <f t="shared" si="1"/>
        <v>45999</v>
      </c>
      <c r="F9" s="20"/>
      <c r="G9" s="20"/>
      <c r="H9" s="20"/>
      <c r="I9" s="20"/>
      <c r="J9" s="20"/>
      <c r="M9" s="37"/>
      <c r="N9" s="21" t="s">
        <v>20</v>
      </c>
      <c r="Q9" s="29"/>
      <c r="R9" s="27">
        <v>5.0</v>
      </c>
    </row>
    <row r="10">
      <c r="A10" s="22"/>
      <c r="C10" s="18">
        <f t="shared" si="2"/>
        <v>46000</v>
      </c>
      <c r="D10" s="24">
        <f t="shared" si="1"/>
        <v>46000</v>
      </c>
      <c r="F10" s="25"/>
      <c r="Q10" s="29"/>
      <c r="R10" s="27">
        <v>6.0</v>
      </c>
    </row>
    <row r="11">
      <c r="A11" s="22"/>
      <c r="C11" s="18">
        <f t="shared" si="2"/>
        <v>46001</v>
      </c>
      <c r="D11" s="24">
        <f t="shared" si="1"/>
        <v>46001</v>
      </c>
      <c r="F11" s="21" t="s">
        <v>270</v>
      </c>
      <c r="Q11" s="29"/>
      <c r="R11" s="27">
        <v>7.0</v>
      </c>
    </row>
    <row r="12">
      <c r="A12" s="22"/>
      <c r="C12" s="18">
        <f t="shared" si="2"/>
        <v>46002</v>
      </c>
      <c r="D12" s="24">
        <f t="shared" si="1"/>
        <v>46002</v>
      </c>
      <c r="F12" s="25"/>
      <c r="K12" s="38"/>
    </row>
    <row r="13">
      <c r="A13" s="22"/>
      <c r="C13" s="18">
        <f t="shared" si="2"/>
        <v>46003</v>
      </c>
      <c r="D13" s="24">
        <f t="shared" si="1"/>
        <v>46003</v>
      </c>
      <c r="F13" s="25"/>
    </row>
    <row r="14">
      <c r="A14" s="22"/>
      <c r="C14" s="18">
        <f t="shared" si="2"/>
        <v>46004</v>
      </c>
      <c r="D14" s="24">
        <f t="shared" si="1"/>
        <v>46004</v>
      </c>
      <c r="F14" s="25"/>
    </row>
    <row r="15">
      <c r="A15" s="22"/>
      <c r="B15" s="39"/>
      <c r="C15" s="18">
        <f t="shared" si="2"/>
        <v>46005</v>
      </c>
      <c r="D15" s="24">
        <f t="shared" si="1"/>
        <v>46005</v>
      </c>
      <c r="E15" s="31"/>
      <c r="F15" s="31"/>
      <c r="G15" s="31"/>
      <c r="H15" s="31"/>
      <c r="I15" s="31"/>
      <c r="J15" s="31"/>
    </row>
    <row r="16">
      <c r="A16" s="22"/>
      <c r="B16" s="34">
        <f>B9+1</f>
        <v>51</v>
      </c>
      <c r="C16" s="35">
        <f t="shared" si="2"/>
        <v>46006</v>
      </c>
      <c r="D16" s="36">
        <f t="shared" si="1"/>
        <v>46006</v>
      </c>
      <c r="E16" s="25"/>
      <c r="F16" s="20"/>
      <c r="I16" s="20"/>
      <c r="J16" s="20"/>
      <c r="N16" s="40"/>
      <c r="O16" s="41"/>
      <c r="P16" s="41"/>
      <c r="R16" s="41"/>
    </row>
    <row r="17">
      <c r="A17" s="22"/>
      <c r="C17" s="18">
        <f t="shared" si="2"/>
        <v>46007</v>
      </c>
      <c r="D17" s="24">
        <f t="shared" si="1"/>
        <v>46007</v>
      </c>
      <c r="E17" s="25"/>
      <c r="N17" s="40"/>
      <c r="O17" s="41"/>
      <c r="P17" s="41"/>
      <c r="R17" s="41"/>
    </row>
    <row r="18">
      <c r="A18" s="22"/>
      <c r="C18" s="18">
        <f t="shared" si="2"/>
        <v>46008</v>
      </c>
      <c r="D18" s="24">
        <f t="shared" si="1"/>
        <v>46008</v>
      </c>
      <c r="E18" s="25"/>
      <c r="N18" s="40"/>
      <c r="O18" s="41"/>
      <c r="P18" s="41"/>
      <c r="R18" s="41"/>
    </row>
    <row r="19">
      <c r="A19" s="22"/>
      <c r="C19" s="18">
        <f t="shared" si="2"/>
        <v>46009</v>
      </c>
      <c r="D19" s="24">
        <f t="shared" si="1"/>
        <v>46009</v>
      </c>
      <c r="E19" s="25"/>
      <c r="G19" s="21"/>
      <c r="N19" s="40"/>
      <c r="O19" s="41"/>
      <c r="P19" s="41"/>
      <c r="R19" s="41"/>
    </row>
    <row r="20">
      <c r="A20" s="22"/>
      <c r="C20" s="18">
        <f t="shared" si="2"/>
        <v>46010</v>
      </c>
      <c r="D20" s="24">
        <f t="shared" si="1"/>
        <v>46010</v>
      </c>
      <c r="E20" s="25"/>
      <c r="N20" s="40"/>
      <c r="O20" s="41"/>
      <c r="P20" s="41"/>
      <c r="R20" s="41"/>
    </row>
    <row r="21">
      <c r="A21" s="22"/>
      <c r="C21" s="18">
        <f t="shared" si="2"/>
        <v>46011</v>
      </c>
      <c r="D21" s="24">
        <f t="shared" si="1"/>
        <v>46011</v>
      </c>
      <c r="E21" s="25"/>
      <c r="N21" s="40"/>
      <c r="O21" s="41"/>
      <c r="P21" s="41"/>
      <c r="R21" s="41"/>
    </row>
    <row r="22">
      <c r="A22" s="22"/>
      <c r="B22" s="39"/>
      <c r="C22" s="18">
        <f t="shared" si="2"/>
        <v>46012</v>
      </c>
      <c r="D22" s="24">
        <f t="shared" si="1"/>
        <v>46012</v>
      </c>
      <c r="E22" s="31"/>
      <c r="F22" s="31"/>
      <c r="G22" s="31"/>
      <c r="H22" s="31"/>
      <c r="I22" s="32"/>
      <c r="J22" s="31"/>
      <c r="N22" s="40"/>
      <c r="O22" s="41"/>
      <c r="P22" s="41"/>
      <c r="R22" s="41"/>
    </row>
    <row r="23">
      <c r="A23" s="22"/>
      <c r="B23" s="34">
        <f>B16+1</f>
        <v>52</v>
      </c>
      <c r="C23" s="35">
        <f t="shared" si="2"/>
        <v>46013</v>
      </c>
      <c r="D23" s="36">
        <f t="shared" si="1"/>
        <v>46013</v>
      </c>
      <c r="F23" s="20"/>
      <c r="G23" s="20"/>
      <c r="H23" s="20"/>
      <c r="J23" s="20"/>
      <c r="N23" s="40"/>
      <c r="O23" s="41"/>
      <c r="P23" s="41"/>
      <c r="R23" s="41"/>
    </row>
    <row r="24">
      <c r="A24" s="22"/>
      <c r="C24" s="18">
        <f t="shared" si="2"/>
        <v>46014</v>
      </c>
      <c r="D24" s="24">
        <f t="shared" si="1"/>
        <v>46014</v>
      </c>
      <c r="F24" s="21" t="s">
        <v>271</v>
      </c>
      <c r="N24" s="40"/>
      <c r="O24" s="41"/>
      <c r="P24" s="41"/>
      <c r="R24" s="41"/>
    </row>
    <row r="25">
      <c r="A25" s="22"/>
      <c r="C25" s="18">
        <f t="shared" si="2"/>
        <v>46015</v>
      </c>
      <c r="D25" s="24">
        <f t="shared" si="1"/>
        <v>46015</v>
      </c>
      <c r="F25" s="25"/>
      <c r="N25" s="40"/>
      <c r="O25" s="41"/>
      <c r="P25" s="41"/>
      <c r="R25" s="41"/>
    </row>
    <row r="26">
      <c r="A26" s="22"/>
      <c r="C26" s="18">
        <f t="shared" si="2"/>
        <v>46016</v>
      </c>
      <c r="D26" s="24">
        <f t="shared" si="1"/>
        <v>46016</v>
      </c>
      <c r="F26" s="25"/>
      <c r="N26" s="40"/>
      <c r="O26" s="41"/>
      <c r="P26" s="41"/>
      <c r="R26" s="41"/>
    </row>
    <row r="27">
      <c r="A27" s="22"/>
      <c r="C27" s="18">
        <f t="shared" si="2"/>
        <v>46017</v>
      </c>
      <c r="D27" s="24">
        <f t="shared" si="1"/>
        <v>46017</v>
      </c>
      <c r="F27" s="25"/>
      <c r="N27" s="40"/>
      <c r="O27" s="41"/>
      <c r="P27" s="41"/>
      <c r="R27" s="41"/>
    </row>
    <row r="28">
      <c r="A28" s="22"/>
      <c r="C28" s="18">
        <f t="shared" si="2"/>
        <v>46018</v>
      </c>
      <c r="D28" s="24">
        <f t="shared" si="1"/>
        <v>46018</v>
      </c>
      <c r="F28" s="25"/>
      <c r="N28" s="40"/>
      <c r="O28" s="41"/>
      <c r="P28" s="41"/>
      <c r="R28" s="41"/>
    </row>
    <row r="29">
      <c r="A29" s="22"/>
      <c r="B29" s="39"/>
      <c r="C29" s="18">
        <f t="shared" si="2"/>
        <v>46019</v>
      </c>
      <c r="D29" s="24">
        <f t="shared" si="1"/>
        <v>46019</v>
      </c>
      <c r="E29" s="31"/>
      <c r="F29" s="31"/>
      <c r="G29" s="31"/>
      <c r="H29" s="31"/>
      <c r="I29" s="32"/>
      <c r="J29" s="31"/>
      <c r="N29" s="40"/>
      <c r="O29" s="41"/>
      <c r="P29" s="41"/>
      <c r="R29" s="41"/>
    </row>
    <row r="30">
      <c r="A30" s="22"/>
      <c r="B30" s="34">
        <f>B23+1</f>
        <v>53</v>
      </c>
      <c r="C30" s="35">
        <f t="shared" si="2"/>
        <v>46020</v>
      </c>
      <c r="D30" s="36">
        <f t="shared" si="1"/>
        <v>46020</v>
      </c>
      <c r="E30" s="25"/>
      <c r="F30" s="20"/>
      <c r="G30" s="20"/>
      <c r="J30" s="20"/>
      <c r="N30" s="40"/>
      <c r="O30" s="41"/>
      <c r="P30" s="41"/>
      <c r="R30" s="41"/>
    </row>
    <row r="31">
      <c r="A31" s="22"/>
      <c r="C31" s="18">
        <f t="shared" si="2"/>
        <v>46021</v>
      </c>
      <c r="D31" s="24">
        <f t="shared" si="1"/>
        <v>46021</v>
      </c>
      <c r="E31" s="21" t="s">
        <v>271</v>
      </c>
      <c r="N31" s="40"/>
      <c r="O31" s="41"/>
      <c r="P31" s="41"/>
      <c r="R31" s="41"/>
    </row>
    <row r="32">
      <c r="A32" s="22"/>
      <c r="C32" s="18">
        <f t="shared" si="2"/>
        <v>46022</v>
      </c>
      <c r="D32" s="24">
        <f t="shared" si="1"/>
        <v>46022</v>
      </c>
      <c r="E32" s="25"/>
      <c r="N32" s="40"/>
      <c r="O32" s="41"/>
      <c r="P32" s="41"/>
      <c r="R32" s="41"/>
    </row>
    <row r="33">
      <c r="A33" s="22"/>
      <c r="C33" s="18">
        <f t="shared" si="2"/>
        <v>46023</v>
      </c>
      <c r="D33" s="24">
        <f t="shared" si="1"/>
        <v>46023</v>
      </c>
      <c r="N33" s="40"/>
      <c r="O33" s="41"/>
      <c r="P33" s="41"/>
      <c r="R33" s="41"/>
    </row>
    <row r="34">
      <c r="A34" s="22"/>
      <c r="C34" s="18">
        <f t="shared" si="2"/>
        <v>46024</v>
      </c>
      <c r="D34" s="24">
        <f t="shared" si="1"/>
        <v>46024</v>
      </c>
      <c r="N34" s="40"/>
      <c r="O34" s="41"/>
      <c r="P34" s="41"/>
      <c r="R34" s="41"/>
    </row>
    <row r="35">
      <c r="A35" s="22"/>
      <c r="C35" s="18">
        <f t="shared" si="2"/>
        <v>46025</v>
      </c>
      <c r="D35" s="24">
        <f t="shared" si="1"/>
        <v>46025</v>
      </c>
      <c r="N35" s="40"/>
      <c r="O35" s="41"/>
      <c r="P35" s="41"/>
      <c r="R35" s="41"/>
    </row>
    <row r="36">
      <c r="A36" s="22"/>
      <c r="B36" s="39"/>
      <c r="C36" s="18">
        <f t="shared" si="2"/>
        <v>46026</v>
      </c>
      <c r="D36" s="24">
        <f t="shared" si="1"/>
        <v>46026</v>
      </c>
      <c r="E36" s="31"/>
      <c r="F36" s="31"/>
      <c r="N36" s="40"/>
      <c r="O36" s="41"/>
      <c r="P36" s="41"/>
      <c r="R36" s="41"/>
    </row>
    <row r="37">
      <c r="A37" s="22"/>
      <c r="B37" s="34">
        <f>B30+1</f>
        <v>54</v>
      </c>
      <c r="C37" s="35">
        <f t="shared" si="2"/>
        <v>46027</v>
      </c>
      <c r="D37" s="36">
        <f t="shared" si="1"/>
        <v>46027</v>
      </c>
      <c r="F37" s="20"/>
      <c r="G37" s="20"/>
      <c r="H37" s="20"/>
      <c r="I37" s="20"/>
      <c r="J37" s="20"/>
    </row>
    <row r="38">
      <c r="A38" s="22"/>
      <c r="C38" s="18">
        <f t="shared" si="2"/>
        <v>46028</v>
      </c>
      <c r="D38" s="24">
        <f t="shared" si="1"/>
        <v>46028</v>
      </c>
    </row>
    <row r="39">
      <c r="A39" s="22"/>
      <c r="C39" s="18">
        <f t="shared" si="2"/>
        <v>46029</v>
      </c>
      <c r="D39" s="24">
        <f t="shared" si="1"/>
        <v>46029</v>
      </c>
    </row>
    <row r="40">
      <c r="A40" s="22"/>
      <c r="C40" s="18">
        <f t="shared" si="2"/>
        <v>46030</v>
      </c>
      <c r="D40" s="24">
        <f t="shared" si="1"/>
        <v>46030</v>
      </c>
    </row>
    <row r="41">
      <c r="A41" s="22"/>
      <c r="C41" s="18">
        <f t="shared" si="2"/>
        <v>46031</v>
      </c>
      <c r="D41" s="24">
        <f t="shared" si="1"/>
        <v>46031</v>
      </c>
    </row>
    <row r="42">
      <c r="A42" s="22"/>
      <c r="C42" s="18">
        <f t="shared" si="2"/>
        <v>46032</v>
      </c>
      <c r="D42" s="24">
        <f t="shared" si="1"/>
        <v>46032</v>
      </c>
    </row>
    <row r="43">
      <c r="A43" s="22"/>
      <c r="B43" s="39"/>
      <c r="C43" s="42">
        <f t="shared" si="2"/>
        <v>46033</v>
      </c>
      <c r="D43" s="43">
        <f t="shared" si="1"/>
        <v>46033</v>
      </c>
      <c r="E43" s="31"/>
      <c r="F43" s="31"/>
      <c r="G43" s="31"/>
      <c r="H43" s="31"/>
      <c r="I43" s="31"/>
      <c r="J43" s="31"/>
    </row>
  </sheetData>
  <autoFilter ref="$C$1:$C$1003">
    <sortState ref="C1:C1003">
      <sortCondition descending="1" sortBy="cellColor" ref="C1:C1003" dxfId="1"/>
    </sortState>
  </autoFilter>
  <mergeCells count="7">
    <mergeCell ref="A2:A43"/>
    <mergeCell ref="B2:B8"/>
    <mergeCell ref="B9:B15"/>
    <mergeCell ref="B16:B22"/>
    <mergeCell ref="B23:B29"/>
    <mergeCell ref="B30:B36"/>
    <mergeCell ref="B37:B43"/>
  </mergeCells>
  <conditionalFormatting sqref="C2:C43">
    <cfRule type="timePeriod" dxfId="2" priority="3" timePeriod="today"/>
  </conditionalFormatting>
  <conditionalFormatting sqref="E2:E43">
    <cfRule type="expression" dxfId="3" priority="4">
      <formula>AND(MONTH($A$1)=MONTH(C2),OR(AND(MOD(WEEKNUM(C2,2),2),ISERROR(MATCH(WEEKDAY(C2,2),$Q$5:$Q$11,0))),AND(MOD(WEEKNUM(C2,2),2)=0,ISERROR(MATCH(WEEKDAY(C2,2),$R$5:$R$11,0)))))</formula>
    </cfRule>
  </conditionalFormatting>
  <conditionalFormatting sqref="F2:F43 E31">
    <cfRule type="expression" dxfId="3" priority="5">
      <formula>AND(MONTH($A$1)=MONTH(C2),OR(AND(MOD(WEEKNUM(C2,2),2),NOT(ISERROR(MATCH(WEEKDAY(C2,2),$Q$5:$Q$11,0)))),AND(MOD(WEEKNUM(C2,2),2)=0,NOT(ISERROR(MATCH(WEEKDAY(C2,2),$R$5:$R$11,0))))))</formula>
    </cfRule>
  </conditionalFormatting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5"/>
    <col customWidth="1" min="3" max="3" width="2.88"/>
    <col customWidth="1" min="4" max="4" width="7.5"/>
    <col customWidth="1" min="5" max="6" width="18.38"/>
    <col customWidth="1" min="7" max="8" width="13.38"/>
    <col customWidth="1" min="9" max="9" width="22.63"/>
    <col customWidth="1" min="10" max="10" width="25.38"/>
    <col customWidth="1" min="14" max="14" width="23.63"/>
    <col customWidth="1" min="16" max="16" width="14.25"/>
  </cols>
  <sheetData>
    <row r="1">
      <c r="A1" s="11">
        <v>46023.0</v>
      </c>
      <c r="B1" s="12" t="s">
        <v>13</v>
      </c>
      <c r="C1" s="13"/>
      <c r="D1" s="14"/>
      <c r="E1" s="15" t="s">
        <v>5</v>
      </c>
      <c r="F1" s="15" t="s">
        <v>14</v>
      </c>
      <c r="G1" s="12"/>
      <c r="H1" s="12"/>
      <c r="I1" s="12" t="s">
        <v>15</v>
      </c>
      <c r="J1" s="12" t="s">
        <v>16</v>
      </c>
    </row>
    <row r="2">
      <c r="A2" s="16">
        <f>A1</f>
        <v>46023</v>
      </c>
      <c r="B2" s="17">
        <f>WEEKNUM(A1)</f>
        <v>1</v>
      </c>
      <c r="C2" s="18">
        <f>A1-WEEKDAY(A1,2)+1</f>
        <v>46020</v>
      </c>
      <c r="D2" s="19">
        <f t="shared" ref="D2:D43" si="1">C2</f>
        <v>46020</v>
      </c>
      <c r="F2" s="20"/>
      <c r="N2" s="21"/>
    </row>
    <row r="3">
      <c r="A3" s="22"/>
      <c r="B3" s="23"/>
      <c r="C3" s="18">
        <f t="shared" ref="C3:C43" si="2">C2+1</f>
        <v>46021</v>
      </c>
      <c r="D3" s="24">
        <f t="shared" si="1"/>
        <v>46021</v>
      </c>
      <c r="N3" s="21"/>
    </row>
    <row r="4">
      <c r="A4" s="22"/>
      <c r="B4" s="23"/>
      <c r="C4" s="18">
        <f t="shared" si="2"/>
        <v>46022</v>
      </c>
      <c r="D4" s="24">
        <f t="shared" si="1"/>
        <v>46022</v>
      </c>
      <c r="N4" s="21"/>
    </row>
    <row r="5">
      <c r="A5" s="22"/>
      <c r="B5" s="23"/>
      <c r="C5" s="18">
        <f t="shared" si="2"/>
        <v>46023</v>
      </c>
      <c r="D5" s="24">
        <f t="shared" si="1"/>
        <v>46023</v>
      </c>
      <c r="E5" s="25"/>
      <c r="M5" s="26"/>
      <c r="N5" s="21" t="s">
        <v>17</v>
      </c>
      <c r="Q5" s="27"/>
      <c r="R5" s="27">
        <v>1.0</v>
      </c>
    </row>
    <row r="6">
      <c r="A6" s="22"/>
      <c r="B6" s="23"/>
      <c r="C6" s="18">
        <f t="shared" si="2"/>
        <v>46024</v>
      </c>
      <c r="D6" s="24">
        <f t="shared" si="1"/>
        <v>46024</v>
      </c>
      <c r="E6" s="25"/>
      <c r="M6" s="28"/>
      <c r="N6" s="21" t="s">
        <v>18</v>
      </c>
      <c r="Q6" s="27"/>
      <c r="R6" s="27">
        <v>2.0</v>
      </c>
    </row>
    <row r="7">
      <c r="A7" s="22"/>
      <c r="B7" s="23"/>
      <c r="C7" s="18">
        <f t="shared" si="2"/>
        <v>46025</v>
      </c>
      <c r="D7" s="24">
        <f t="shared" si="1"/>
        <v>46025</v>
      </c>
      <c r="E7" s="25"/>
      <c r="Q7" s="29"/>
      <c r="R7" s="27">
        <v>3.0</v>
      </c>
    </row>
    <row r="8">
      <c r="A8" s="22"/>
      <c r="B8" s="30"/>
      <c r="C8" s="18">
        <f t="shared" si="2"/>
        <v>46026</v>
      </c>
      <c r="D8" s="24">
        <f t="shared" si="1"/>
        <v>46026</v>
      </c>
      <c r="E8" s="31"/>
      <c r="F8" s="31"/>
      <c r="G8" s="32"/>
      <c r="H8" s="32"/>
      <c r="I8" s="32"/>
      <c r="J8" s="31"/>
      <c r="M8" s="33"/>
      <c r="N8" s="21" t="s">
        <v>19</v>
      </c>
      <c r="Q8" s="29"/>
      <c r="R8" s="27">
        <v>4.0</v>
      </c>
    </row>
    <row r="9">
      <c r="A9" s="22"/>
      <c r="B9" s="34">
        <f>B2+1</f>
        <v>2</v>
      </c>
      <c r="C9" s="35">
        <f t="shared" si="2"/>
        <v>46027</v>
      </c>
      <c r="D9" s="36">
        <f t="shared" si="1"/>
        <v>46027</v>
      </c>
      <c r="F9" s="20"/>
      <c r="G9" s="20"/>
      <c r="H9" s="20"/>
      <c r="I9" s="20"/>
      <c r="J9" s="20"/>
      <c r="M9" s="37"/>
      <c r="N9" s="21" t="s">
        <v>20</v>
      </c>
      <c r="Q9" s="29"/>
      <c r="R9" s="27">
        <v>5.0</v>
      </c>
    </row>
    <row r="10">
      <c r="A10" s="22"/>
      <c r="C10" s="18">
        <f t="shared" si="2"/>
        <v>46028</v>
      </c>
      <c r="D10" s="24">
        <f t="shared" si="1"/>
        <v>46028</v>
      </c>
      <c r="F10" s="25"/>
      <c r="Q10" s="29"/>
      <c r="R10" s="27">
        <v>6.0</v>
      </c>
    </row>
    <row r="11">
      <c r="A11" s="22"/>
      <c r="C11" s="18">
        <f t="shared" si="2"/>
        <v>46029</v>
      </c>
      <c r="D11" s="24">
        <f t="shared" si="1"/>
        <v>46029</v>
      </c>
      <c r="F11" s="21"/>
      <c r="Q11" s="29"/>
      <c r="R11" s="27">
        <v>7.0</v>
      </c>
    </row>
    <row r="12">
      <c r="A12" s="22"/>
      <c r="C12" s="18">
        <f t="shared" si="2"/>
        <v>46030</v>
      </c>
      <c r="D12" s="24">
        <f t="shared" si="1"/>
        <v>46030</v>
      </c>
      <c r="F12" s="25"/>
      <c r="K12" s="38"/>
    </row>
    <row r="13">
      <c r="A13" s="22"/>
      <c r="C13" s="18">
        <f t="shared" si="2"/>
        <v>46031</v>
      </c>
      <c r="D13" s="24">
        <f t="shared" si="1"/>
        <v>46031</v>
      </c>
      <c r="F13" s="25"/>
    </row>
    <row r="14">
      <c r="A14" s="22"/>
      <c r="C14" s="18">
        <f t="shared" si="2"/>
        <v>46032</v>
      </c>
      <c r="D14" s="24">
        <f t="shared" si="1"/>
        <v>46032</v>
      </c>
      <c r="F14" s="25"/>
    </row>
    <row r="15">
      <c r="A15" s="22"/>
      <c r="B15" s="39"/>
      <c r="C15" s="18">
        <f t="shared" si="2"/>
        <v>46033</v>
      </c>
      <c r="D15" s="24">
        <f t="shared" si="1"/>
        <v>46033</v>
      </c>
      <c r="E15" s="31"/>
      <c r="F15" s="31"/>
      <c r="G15" s="31"/>
      <c r="H15" s="31"/>
      <c r="I15" s="31"/>
      <c r="J15" s="31"/>
    </row>
    <row r="16">
      <c r="A16" s="22"/>
      <c r="B16" s="34">
        <f>B9+1</f>
        <v>3</v>
      </c>
      <c r="C16" s="35">
        <f t="shared" si="2"/>
        <v>46034</v>
      </c>
      <c r="D16" s="36">
        <f t="shared" si="1"/>
        <v>46034</v>
      </c>
      <c r="E16" s="25"/>
      <c r="F16" s="20"/>
      <c r="I16" s="20"/>
      <c r="J16" s="20"/>
      <c r="N16" s="40"/>
      <c r="O16" s="41"/>
      <c r="P16" s="41"/>
      <c r="R16" s="41"/>
    </row>
    <row r="17">
      <c r="A17" s="22"/>
      <c r="C17" s="18">
        <f t="shared" si="2"/>
        <v>46035</v>
      </c>
      <c r="D17" s="24">
        <f t="shared" si="1"/>
        <v>46035</v>
      </c>
      <c r="E17" s="25"/>
      <c r="N17" s="40"/>
      <c r="O17" s="41"/>
      <c r="P17" s="41"/>
      <c r="R17" s="41"/>
    </row>
    <row r="18">
      <c r="A18" s="22"/>
      <c r="C18" s="18">
        <f t="shared" si="2"/>
        <v>46036</v>
      </c>
      <c r="D18" s="24">
        <f t="shared" si="1"/>
        <v>46036</v>
      </c>
      <c r="E18" s="25"/>
      <c r="N18" s="40"/>
      <c r="O18" s="41"/>
      <c r="P18" s="41"/>
      <c r="R18" s="41"/>
    </row>
    <row r="19">
      <c r="A19" s="22"/>
      <c r="C19" s="18">
        <f t="shared" si="2"/>
        <v>46037</v>
      </c>
      <c r="D19" s="24">
        <f t="shared" si="1"/>
        <v>46037</v>
      </c>
      <c r="E19" s="25"/>
      <c r="G19" s="21"/>
      <c r="N19" s="40"/>
      <c r="O19" s="41"/>
      <c r="P19" s="41"/>
      <c r="R19" s="41"/>
    </row>
    <row r="20">
      <c r="A20" s="22"/>
      <c r="C20" s="18">
        <f t="shared" si="2"/>
        <v>46038</v>
      </c>
      <c r="D20" s="24">
        <f t="shared" si="1"/>
        <v>46038</v>
      </c>
      <c r="E20" s="25"/>
      <c r="N20" s="40"/>
      <c r="O20" s="41"/>
      <c r="P20" s="41"/>
      <c r="R20" s="41"/>
    </row>
    <row r="21">
      <c r="A21" s="22"/>
      <c r="C21" s="18">
        <f t="shared" si="2"/>
        <v>46039</v>
      </c>
      <c r="D21" s="24">
        <f t="shared" si="1"/>
        <v>46039</v>
      </c>
      <c r="E21" s="25"/>
      <c r="N21" s="40"/>
      <c r="O21" s="41"/>
      <c r="P21" s="41"/>
      <c r="R21" s="41"/>
    </row>
    <row r="22">
      <c r="A22" s="22"/>
      <c r="B22" s="39"/>
      <c r="C22" s="18">
        <f t="shared" si="2"/>
        <v>46040</v>
      </c>
      <c r="D22" s="24">
        <f t="shared" si="1"/>
        <v>46040</v>
      </c>
      <c r="E22" s="31"/>
      <c r="F22" s="31"/>
      <c r="G22" s="31"/>
      <c r="H22" s="31"/>
      <c r="I22" s="32"/>
      <c r="J22" s="31"/>
      <c r="N22" s="40"/>
      <c r="O22" s="41"/>
      <c r="P22" s="41"/>
      <c r="R22" s="41"/>
    </row>
    <row r="23">
      <c r="A23" s="22"/>
      <c r="B23" s="34">
        <f>B16+1</f>
        <v>4</v>
      </c>
      <c r="C23" s="35">
        <f t="shared" si="2"/>
        <v>46041</v>
      </c>
      <c r="D23" s="36">
        <f t="shared" si="1"/>
        <v>46041</v>
      </c>
      <c r="F23" s="20"/>
      <c r="G23" s="20"/>
      <c r="H23" s="20"/>
      <c r="J23" s="20"/>
      <c r="N23" s="40"/>
      <c r="O23" s="41"/>
      <c r="P23" s="41"/>
      <c r="R23" s="41"/>
    </row>
    <row r="24">
      <c r="A24" s="22"/>
      <c r="C24" s="18">
        <f t="shared" si="2"/>
        <v>46042</v>
      </c>
      <c r="D24" s="24">
        <f t="shared" si="1"/>
        <v>46042</v>
      </c>
      <c r="F24" s="21"/>
      <c r="N24" s="40"/>
      <c r="O24" s="41"/>
      <c r="P24" s="41"/>
      <c r="R24" s="41"/>
    </row>
    <row r="25">
      <c r="A25" s="22"/>
      <c r="C25" s="18">
        <f t="shared" si="2"/>
        <v>46043</v>
      </c>
      <c r="D25" s="24">
        <f t="shared" si="1"/>
        <v>46043</v>
      </c>
      <c r="F25" s="25"/>
      <c r="N25" s="40"/>
      <c r="O25" s="41"/>
      <c r="P25" s="41"/>
      <c r="R25" s="41"/>
    </row>
    <row r="26">
      <c r="A26" s="22"/>
      <c r="C26" s="18">
        <f t="shared" si="2"/>
        <v>46044</v>
      </c>
      <c r="D26" s="24">
        <f t="shared" si="1"/>
        <v>46044</v>
      </c>
      <c r="F26" s="25"/>
      <c r="N26" s="40"/>
      <c r="O26" s="41"/>
      <c r="P26" s="41"/>
      <c r="R26" s="41"/>
    </row>
    <row r="27">
      <c r="A27" s="22"/>
      <c r="C27" s="18">
        <f t="shared" si="2"/>
        <v>46045</v>
      </c>
      <c r="D27" s="24">
        <f t="shared" si="1"/>
        <v>46045</v>
      </c>
      <c r="F27" s="25"/>
      <c r="N27" s="40"/>
      <c r="O27" s="41"/>
      <c r="P27" s="41"/>
      <c r="R27" s="41"/>
    </row>
    <row r="28">
      <c r="A28" s="22"/>
      <c r="C28" s="18">
        <f t="shared" si="2"/>
        <v>46046</v>
      </c>
      <c r="D28" s="24">
        <f t="shared" si="1"/>
        <v>46046</v>
      </c>
      <c r="F28" s="25"/>
      <c r="N28" s="40"/>
      <c r="O28" s="41"/>
      <c r="P28" s="41"/>
      <c r="R28" s="41"/>
    </row>
    <row r="29">
      <c r="A29" s="22"/>
      <c r="B29" s="39"/>
      <c r="C29" s="18">
        <f t="shared" si="2"/>
        <v>46047</v>
      </c>
      <c r="D29" s="24">
        <f t="shared" si="1"/>
        <v>46047</v>
      </c>
      <c r="E29" s="31"/>
      <c r="F29" s="31"/>
      <c r="G29" s="31"/>
      <c r="H29" s="31"/>
      <c r="I29" s="32"/>
      <c r="J29" s="31"/>
      <c r="N29" s="40"/>
      <c r="O29" s="41"/>
      <c r="P29" s="41"/>
      <c r="R29" s="41"/>
    </row>
    <row r="30">
      <c r="A30" s="22"/>
      <c r="B30" s="34">
        <f>B23+1</f>
        <v>5</v>
      </c>
      <c r="C30" s="35">
        <f t="shared" si="2"/>
        <v>46048</v>
      </c>
      <c r="D30" s="36">
        <f t="shared" si="1"/>
        <v>46048</v>
      </c>
      <c r="E30" s="25"/>
      <c r="F30" s="20"/>
      <c r="G30" s="20"/>
      <c r="J30" s="20"/>
      <c r="N30" s="40"/>
      <c r="O30" s="41"/>
      <c r="P30" s="41"/>
      <c r="R30" s="41"/>
    </row>
    <row r="31">
      <c r="A31" s="22"/>
      <c r="C31" s="18">
        <f t="shared" si="2"/>
        <v>46049</v>
      </c>
      <c r="D31" s="24">
        <f t="shared" si="1"/>
        <v>46049</v>
      </c>
      <c r="E31" s="21"/>
      <c r="N31" s="40"/>
      <c r="O31" s="41"/>
      <c r="P31" s="41"/>
      <c r="R31" s="41"/>
    </row>
    <row r="32">
      <c r="A32" s="22"/>
      <c r="C32" s="18">
        <f t="shared" si="2"/>
        <v>46050</v>
      </c>
      <c r="D32" s="24">
        <f t="shared" si="1"/>
        <v>46050</v>
      </c>
      <c r="E32" s="25"/>
      <c r="N32" s="40"/>
      <c r="O32" s="41"/>
      <c r="P32" s="41"/>
      <c r="R32" s="41"/>
    </row>
    <row r="33">
      <c r="A33" s="22"/>
      <c r="C33" s="18">
        <f t="shared" si="2"/>
        <v>46051</v>
      </c>
      <c r="D33" s="24">
        <f t="shared" si="1"/>
        <v>46051</v>
      </c>
      <c r="E33" s="25"/>
      <c r="N33" s="40"/>
      <c r="O33" s="41"/>
      <c r="P33" s="41"/>
      <c r="R33" s="41"/>
    </row>
    <row r="34">
      <c r="A34" s="22"/>
      <c r="C34" s="18">
        <f t="shared" si="2"/>
        <v>46052</v>
      </c>
      <c r="D34" s="24">
        <f t="shared" si="1"/>
        <v>46052</v>
      </c>
      <c r="E34" s="25"/>
      <c r="N34" s="40"/>
      <c r="O34" s="41"/>
      <c r="P34" s="41"/>
      <c r="R34" s="41"/>
    </row>
    <row r="35">
      <c r="A35" s="22"/>
      <c r="C35" s="18">
        <f t="shared" si="2"/>
        <v>46053</v>
      </c>
      <c r="D35" s="24">
        <f t="shared" si="1"/>
        <v>46053</v>
      </c>
      <c r="E35" s="25"/>
      <c r="N35" s="40"/>
      <c r="O35" s="41"/>
      <c r="P35" s="41"/>
      <c r="R35" s="41"/>
    </row>
    <row r="36">
      <c r="A36" s="22"/>
      <c r="B36" s="39"/>
      <c r="C36" s="18">
        <f t="shared" si="2"/>
        <v>46054</v>
      </c>
      <c r="D36" s="24">
        <f t="shared" si="1"/>
        <v>46054</v>
      </c>
      <c r="E36" s="31"/>
      <c r="F36" s="31"/>
      <c r="N36" s="40"/>
      <c r="O36" s="41"/>
      <c r="P36" s="41"/>
      <c r="R36" s="41"/>
    </row>
    <row r="37">
      <c r="A37" s="22"/>
      <c r="B37" s="34">
        <f>B30+1</f>
        <v>6</v>
      </c>
      <c r="C37" s="35">
        <f t="shared" si="2"/>
        <v>46055</v>
      </c>
      <c r="D37" s="36">
        <f t="shared" si="1"/>
        <v>46055</v>
      </c>
      <c r="F37" s="20"/>
      <c r="G37" s="20"/>
      <c r="H37" s="20"/>
      <c r="I37" s="20"/>
      <c r="J37" s="20"/>
    </row>
    <row r="38">
      <c r="A38" s="22"/>
      <c r="C38" s="18">
        <f t="shared" si="2"/>
        <v>46056</v>
      </c>
      <c r="D38" s="24">
        <f t="shared" si="1"/>
        <v>46056</v>
      </c>
    </row>
    <row r="39">
      <c r="A39" s="22"/>
      <c r="C39" s="18">
        <f t="shared" si="2"/>
        <v>46057</v>
      </c>
      <c r="D39" s="24">
        <f t="shared" si="1"/>
        <v>46057</v>
      </c>
    </row>
    <row r="40">
      <c r="A40" s="22"/>
      <c r="C40" s="18">
        <f t="shared" si="2"/>
        <v>46058</v>
      </c>
      <c r="D40" s="24">
        <f t="shared" si="1"/>
        <v>46058</v>
      </c>
    </row>
    <row r="41">
      <c r="A41" s="22"/>
      <c r="C41" s="18">
        <f t="shared" si="2"/>
        <v>46059</v>
      </c>
      <c r="D41" s="24">
        <f t="shared" si="1"/>
        <v>46059</v>
      </c>
    </row>
    <row r="42">
      <c r="A42" s="22"/>
      <c r="C42" s="18">
        <f t="shared" si="2"/>
        <v>46060</v>
      </c>
      <c r="D42" s="24">
        <f t="shared" si="1"/>
        <v>46060</v>
      </c>
    </row>
    <row r="43">
      <c r="A43" s="22"/>
      <c r="B43" s="39"/>
      <c r="C43" s="42">
        <f t="shared" si="2"/>
        <v>46061</v>
      </c>
      <c r="D43" s="43">
        <f t="shared" si="1"/>
        <v>46061</v>
      </c>
      <c r="E43" s="31"/>
      <c r="F43" s="31"/>
      <c r="G43" s="31"/>
      <c r="H43" s="31"/>
      <c r="I43" s="31"/>
      <c r="J43" s="31"/>
    </row>
  </sheetData>
  <autoFilter ref="$C$1:$C$1003">
    <sortState ref="C1:C1003">
      <sortCondition descending="1" sortBy="cellColor" ref="C1:C1003" dxfId="1"/>
    </sortState>
  </autoFilter>
  <mergeCells count="7">
    <mergeCell ref="A2:A43"/>
    <mergeCell ref="B2:B8"/>
    <mergeCell ref="B9:B15"/>
    <mergeCell ref="B16:B22"/>
    <mergeCell ref="B23:B29"/>
    <mergeCell ref="B30:B36"/>
    <mergeCell ref="B37:B43"/>
  </mergeCells>
  <conditionalFormatting sqref="C2:C43">
    <cfRule type="timePeriod" dxfId="2" priority="3" timePeriod="today"/>
  </conditionalFormatting>
  <conditionalFormatting sqref="E2:E43">
    <cfRule type="expression" dxfId="3" priority="4">
      <formula>AND(MONTH($A$1)=MONTH(C2),OR(AND(MOD(WEEKNUM(C2,2),2),ISERROR(MATCH(WEEKDAY(C2,2),$Q$5:$Q$11,0))),AND(MOD(WEEKNUM(C2,2),2)=0,ISERROR(MATCH(WEEKDAY(C2,2),$R$5:$R$11,0)))))</formula>
    </cfRule>
  </conditionalFormatting>
  <conditionalFormatting sqref="F2:F43 E31">
    <cfRule type="expression" dxfId="3" priority="5">
      <formula>AND(MONTH($A$1)=MONTH(C2),OR(AND(MOD(WEEKNUM(C2,2),2),NOT(ISERROR(MATCH(WEEKDAY(C2,2),$Q$5:$Q$11,0)))),AND(MOD(WEEKNUM(C2,2),2)=0,NOT(ISERROR(MATCH(WEEKDAY(C2,2),$R$5:$R$11,0))))))</formula>
    </cfRule>
  </conditionalFormatting>
  <drawing r:id="rId1"/>
</worksheet>
</file>